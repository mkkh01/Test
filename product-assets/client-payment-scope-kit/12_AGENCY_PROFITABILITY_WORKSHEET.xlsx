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P&amp;L" sheetId="2" state="visible" r:id="rId2"/>
    <sheet xmlns:r="http://schemas.openxmlformats.org/officeDocument/2006/relationships" name="Capacity Plan" sheetId="3" state="visible" r:id="rId3"/>
    <sheet xmlns:r="http://schemas.openxmlformats.org/officeDocument/2006/relationships" name="Change Impact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'Project P&amp;L'!$A$1:$P$101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2F75B5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margin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'Dashboard'!$D$4:$D$13</f>
            </numRef>
          </cat>
          <val>
            <numRef>
              <f>'Dashboard'!$E$4:$E$13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Agency Profitability Worksheet</t>
        </is>
      </c>
    </row>
    <row r="2"/>
    <row r="3">
      <c r="A3" s="2" t="inlineStr">
        <is>
          <t>Use this workbook to forecast margin before accepting work and to compare the approved plan with actual delivery.</t>
        </is>
      </c>
    </row>
    <row r="4"/>
    <row r="5">
      <c r="A5" s="3" t="inlineStr">
        <is>
          <t>Workflow</t>
        </is>
      </c>
    </row>
    <row r="6">
      <c r="A6" s="4" t="inlineStr">
        <is>
          <t>1</t>
        </is>
      </c>
      <c r="B6" s="5" t="inlineStr">
        <is>
          <t>Add one row per project on Project P&amp;L.</t>
        </is>
      </c>
    </row>
    <row r="7">
      <c r="A7" s="4" t="inlineStr">
        <is>
          <t>2</t>
        </is>
      </c>
      <c r="B7" s="5" t="inlineStr">
        <is>
          <t>Enter revenue, planned hours, hourly internal cost, and other direct costs.</t>
        </is>
      </c>
    </row>
    <row r="8">
      <c r="A8" s="4" t="inlineStr">
        <is>
          <t>3</t>
        </is>
      </c>
      <c r="B8" s="5" t="inlineStr">
        <is>
          <t>Update actual hours and costs weekly; formulas calculate variance and margin.</t>
        </is>
      </c>
    </row>
    <row r="9">
      <c r="A9" s="4" t="inlineStr">
        <is>
          <t>4</t>
        </is>
      </c>
      <c r="B9" s="5" t="inlineStr">
        <is>
          <t>Use Capacity Plan before accepting new work.</t>
        </is>
      </c>
    </row>
    <row r="10">
      <c r="A10" s="4" t="inlineStr">
        <is>
          <t>5</t>
        </is>
      </c>
      <c r="B10" s="5" t="inlineStr">
        <is>
          <t>Use Change Impact to price extra work before production begins.</t>
        </is>
      </c>
    </row>
    <row r="11"/>
    <row r="12"/>
    <row r="13">
      <c r="A13" s="3" t="inlineStr">
        <is>
          <t>Definitions</t>
        </is>
      </c>
    </row>
    <row r="14">
      <c r="A14" s="6" t="inlineStr">
        <is>
          <t>Gross margin %</t>
        </is>
      </c>
      <c r="B14" s="5" t="inlineStr">
        <is>
          <t>(Revenue − direct cost) ÷ Revenue.</t>
        </is>
      </c>
    </row>
    <row r="15">
      <c r="A15" s="6" t="inlineStr">
        <is>
          <t>Forecast margin %</t>
        </is>
      </c>
      <c r="B15" s="5" t="inlineStr">
        <is>
          <t>(Revenue − forecast direct cost) ÷ Revenue.</t>
        </is>
      </c>
    </row>
    <row r="16">
      <c r="A16" s="6" t="inlineStr">
        <is>
          <t>Hours variance</t>
        </is>
      </c>
      <c r="B16" s="5" t="inlineStr">
        <is>
          <t>Actual hours − planned hours. Positive means over plan.</t>
        </is>
      </c>
    </row>
    <row r="17">
      <c r="A17" s="6" t="inlineStr">
        <is>
          <t>Change request</t>
        </is>
      </c>
      <c r="B17" s="5" t="inlineStr">
        <is>
          <t>Any added deliverable, revision, channel, meeting, or deadline change outside the approved baseline.</t>
        </is>
      </c>
    </row>
  </sheetData>
  <mergeCells count="13">
    <mergeCell ref="B7:F7"/>
    <mergeCell ref="B6:F6"/>
    <mergeCell ref="A13:F13"/>
    <mergeCell ref="B16:F16"/>
    <mergeCell ref="B15:F15"/>
    <mergeCell ref="B10:F10"/>
    <mergeCell ref="A1:F1"/>
    <mergeCell ref="A5:F5"/>
    <mergeCell ref="B14:F14"/>
    <mergeCell ref="B8:F8"/>
    <mergeCell ref="A3:F3"/>
    <mergeCell ref="B17:F17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13" customWidth="1" min="5" max="5"/>
    <col width="14" customWidth="1" min="6" max="6"/>
    <col width="13" customWidth="1" min="7" max="7"/>
    <col width="18" customWidth="1" min="8" max="8"/>
    <col width="16" customWidth="1" min="9" max="9"/>
    <col width="15" customWidth="1" min="10" max="10"/>
    <col width="13" customWidth="1" min="11" max="11"/>
    <col width="15" customWidth="1" min="12" max="12"/>
    <col width="13" customWidth="1" min="13" max="13"/>
    <col width="14" customWidth="1" min="14" max="14"/>
    <col width="12" customWidth="1" min="15" max="15"/>
    <col width="28" customWidth="1" min="16" max="16"/>
  </cols>
  <sheetData>
    <row r="1">
      <c r="A1" s="7" t="inlineStr">
        <is>
          <t>Project ID</t>
        </is>
      </c>
      <c r="B1" s="7" t="inlineStr">
        <is>
          <t>Client</t>
        </is>
      </c>
      <c r="C1" s="7" t="inlineStr">
        <is>
          <t>Service</t>
        </is>
      </c>
      <c r="D1" s="7" t="inlineStr">
        <is>
          <t>Status</t>
        </is>
      </c>
      <c r="E1" s="7" t="inlineStr">
        <is>
          <t>Revenue</t>
        </is>
      </c>
      <c r="F1" s="7" t="inlineStr">
        <is>
          <t>Planned hours</t>
        </is>
      </c>
      <c r="G1" s="7" t="inlineStr">
        <is>
          <t>Actual hours</t>
        </is>
      </c>
      <c r="H1" s="7" t="inlineStr">
        <is>
          <t>Internal hourly cost</t>
        </is>
      </c>
      <c r="I1" s="7" t="inlineStr">
        <is>
          <t>Other direct cost</t>
        </is>
      </c>
      <c r="J1" s="7" t="inlineStr">
        <is>
          <t>Forecast cost</t>
        </is>
      </c>
      <c r="K1" s="7" t="inlineStr">
        <is>
          <t>Actual cost</t>
        </is>
      </c>
      <c r="L1" s="7" t="inlineStr">
        <is>
          <t>Forecast margin %</t>
        </is>
      </c>
      <c r="M1" s="7" t="inlineStr">
        <is>
          <t>Actual margin %</t>
        </is>
      </c>
      <c r="N1" s="7" t="inlineStr">
        <is>
          <t>Hours variance</t>
        </is>
      </c>
      <c r="O1" s="7" t="inlineStr">
        <is>
          <t>Margin flag</t>
        </is>
      </c>
      <c r="P1" s="7" t="inlineStr">
        <is>
          <t>Next action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9" t="n"/>
      <c r="I2" s="9" t="n"/>
      <c r="J2" s="9">
        <f>IF(E2="","",F2*H2+I2)</f>
        <v/>
      </c>
      <c r="K2" s="9">
        <f>IF(E2="","",G2*H2+I2)</f>
        <v/>
      </c>
      <c r="L2" s="10">
        <f>IFERROR((E2-J2)/E2,"")</f>
        <v/>
      </c>
      <c r="M2" s="10">
        <f>IFERROR((E2-K2)/E2,"")</f>
        <v/>
      </c>
      <c r="N2" s="8">
        <f>IF(E2="","",G2-F2)</f>
        <v/>
      </c>
      <c r="O2" s="8">
        <f>IF(E2="","",IF(M2&lt;0.45,"RED",IF(M2&lt;0.6,"AMBER","GREEN")))</f>
        <v/>
      </c>
      <c r="P2" s="8" t="n"/>
    </row>
    <row r="3">
      <c r="A3" s="8" t="n"/>
      <c r="B3" s="8" t="n"/>
      <c r="C3" s="8" t="n"/>
      <c r="D3" s="8" t="n"/>
      <c r="E3" s="9" t="n"/>
      <c r="F3" s="8" t="n"/>
      <c r="G3" s="8" t="n"/>
      <c r="H3" s="9" t="n"/>
      <c r="I3" s="9" t="n"/>
      <c r="J3" s="9">
        <f>IF(E3="","",F3*H3+I3)</f>
        <v/>
      </c>
      <c r="K3" s="9">
        <f>IF(E3="","",G3*H3+I3)</f>
        <v/>
      </c>
      <c r="L3" s="10">
        <f>IFERROR((E3-J3)/E3,"")</f>
        <v/>
      </c>
      <c r="M3" s="10">
        <f>IFERROR((E3-K3)/E3,"")</f>
        <v/>
      </c>
      <c r="N3" s="8">
        <f>IF(E3="","",G3-F3)</f>
        <v/>
      </c>
      <c r="O3" s="8">
        <f>IF(E3="","",IF(M3&lt;0.45,"RED",IF(M3&lt;0.6,"AMBER","GREEN")))</f>
        <v/>
      </c>
      <c r="P3" s="8" t="n"/>
    </row>
    <row r="4">
      <c r="A4" s="8" t="n"/>
      <c r="B4" s="8" t="n"/>
      <c r="C4" s="8" t="n"/>
      <c r="D4" s="8" t="n"/>
      <c r="E4" s="9" t="n"/>
      <c r="F4" s="8" t="n"/>
      <c r="G4" s="8" t="n"/>
      <c r="H4" s="9" t="n"/>
      <c r="I4" s="9" t="n"/>
      <c r="J4" s="9">
        <f>IF(E4="","",F4*H4+I4)</f>
        <v/>
      </c>
      <c r="K4" s="9">
        <f>IF(E4="","",G4*H4+I4)</f>
        <v/>
      </c>
      <c r="L4" s="10">
        <f>IFERROR((E4-J4)/E4,"")</f>
        <v/>
      </c>
      <c r="M4" s="10">
        <f>IFERROR((E4-K4)/E4,"")</f>
        <v/>
      </c>
      <c r="N4" s="8">
        <f>IF(E4="","",G4-F4)</f>
        <v/>
      </c>
      <c r="O4" s="8">
        <f>IF(E4="","",IF(M4&lt;0.45,"RED",IF(M4&lt;0.6,"AMBER","GREEN")))</f>
        <v/>
      </c>
      <c r="P4" s="8" t="n"/>
    </row>
    <row r="5">
      <c r="A5" s="8" t="n"/>
      <c r="B5" s="8" t="n"/>
      <c r="C5" s="8" t="n"/>
      <c r="D5" s="8" t="n"/>
      <c r="E5" s="9" t="n"/>
      <c r="F5" s="8" t="n"/>
      <c r="G5" s="8" t="n"/>
      <c r="H5" s="9" t="n"/>
      <c r="I5" s="9" t="n"/>
      <c r="J5" s="9">
        <f>IF(E5="","",F5*H5+I5)</f>
        <v/>
      </c>
      <c r="K5" s="9">
        <f>IF(E5="","",G5*H5+I5)</f>
        <v/>
      </c>
      <c r="L5" s="10">
        <f>IFERROR((E5-J5)/E5,"")</f>
        <v/>
      </c>
      <c r="M5" s="10">
        <f>IFERROR((E5-K5)/E5,"")</f>
        <v/>
      </c>
      <c r="N5" s="8">
        <f>IF(E5="","",G5-F5)</f>
        <v/>
      </c>
      <c r="O5" s="8">
        <f>IF(E5="","",IF(M5&lt;0.45,"RED",IF(M5&lt;0.6,"AMBER","GREEN")))</f>
        <v/>
      </c>
      <c r="P5" s="8" t="n"/>
    </row>
    <row r="6">
      <c r="A6" s="8" t="n"/>
      <c r="B6" s="8" t="n"/>
      <c r="C6" s="8" t="n"/>
      <c r="D6" s="8" t="n"/>
      <c r="E6" s="9" t="n"/>
      <c r="F6" s="8" t="n"/>
      <c r="G6" s="8" t="n"/>
      <c r="H6" s="9" t="n"/>
      <c r="I6" s="9" t="n"/>
      <c r="J6" s="9">
        <f>IF(E6="","",F6*H6+I6)</f>
        <v/>
      </c>
      <c r="K6" s="9">
        <f>IF(E6="","",G6*H6+I6)</f>
        <v/>
      </c>
      <c r="L6" s="10">
        <f>IFERROR((E6-J6)/E6,"")</f>
        <v/>
      </c>
      <c r="M6" s="10">
        <f>IFERROR((E6-K6)/E6,"")</f>
        <v/>
      </c>
      <c r="N6" s="8">
        <f>IF(E6="","",G6-F6)</f>
        <v/>
      </c>
      <c r="O6" s="8">
        <f>IF(E6="","",IF(M6&lt;0.45,"RED",IF(M6&lt;0.6,"AMBER","GREEN")))</f>
        <v/>
      </c>
      <c r="P6" s="8" t="n"/>
    </row>
    <row r="7">
      <c r="A7" s="8" t="n"/>
      <c r="B7" s="8" t="n"/>
      <c r="C7" s="8" t="n"/>
      <c r="D7" s="8" t="n"/>
      <c r="E7" s="9" t="n"/>
      <c r="F7" s="8" t="n"/>
      <c r="G7" s="8" t="n"/>
      <c r="H7" s="9" t="n"/>
      <c r="I7" s="9" t="n"/>
      <c r="J7" s="9">
        <f>IF(E7="","",F7*H7+I7)</f>
        <v/>
      </c>
      <c r="K7" s="9">
        <f>IF(E7="","",G7*H7+I7)</f>
        <v/>
      </c>
      <c r="L7" s="10">
        <f>IFERROR((E7-J7)/E7,"")</f>
        <v/>
      </c>
      <c r="M7" s="10">
        <f>IFERROR((E7-K7)/E7,"")</f>
        <v/>
      </c>
      <c r="N7" s="8">
        <f>IF(E7="","",G7-F7)</f>
        <v/>
      </c>
      <c r="O7" s="8">
        <f>IF(E7="","",IF(M7&lt;0.45,"RED",IF(M7&lt;0.6,"AMBER","GREEN")))</f>
        <v/>
      </c>
      <c r="P7" s="8" t="n"/>
    </row>
    <row r="8">
      <c r="A8" s="8" t="n"/>
      <c r="B8" s="8" t="n"/>
      <c r="C8" s="8" t="n"/>
      <c r="D8" s="8" t="n"/>
      <c r="E8" s="9" t="n"/>
      <c r="F8" s="8" t="n"/>
      <c r="G8" s="8" t="n"/>
      <c r="H8" s="9" t="n"/>
      <c r="I8" s="9" t="n"/>
      <c r="J8" s="9">
        <f>IF(E8="","",F8*H8+I8)</f>
        <v/>
      </c>
      <c r="K8" s="9">
        <f>IF(E8="","",G8*H8+I8)</f>
        <v/>
      </c>
      <c r="L8" s="10">
        <f>IFERROR((E8-J8)/E8,"")</f>
        <v/>
      </c>
      <c r="M8" s="10">
        <f>IFERROR((E8-K8)/E8,"")</f>
        <v/>
      </c>
      <c r="N8" s="8">
        <f>IF(E8="","",G8-F8)</f>
        <v/>
      </c>
      <c r="O8" s="8">
        <f>IF(E8="","",IF(M8&lt;0.45,"RED",IF(M8&lt;0.6,"AMBER","GREEN")))</f>
        <v/>
      </c>
      <c r="P8" s="8" t="n"/>
    </row>
    <row r="9">
      <c r="A9" s="8" t="n"/>
      <c r="B9" s="8" t="n"/>
      <c r="C9" s="8" t="n"/>
      <c r="D9" s="8" t="n"/>
      <c r="E9" s="9" t="n"/>
      <c r="F9" s="8" t="n"/>
      <c r="G9" s="8" t="n"/>
      <c r="H9" s="9" t="n"/>
      <c r="I9" s="9" t="n"/>
      <c r="J9" s="9">
        <f>IF(E9="","",F9*H9+I9)</f>
        <v/>
      </c>
      <c r="K9" s="9">
        <f>IF(E9="","",G9*H9+I9)</f>
        <v/>
      </c>
      <c r="L9" s="10">
        <f>IFERROR((E9-J9)/E9,"")</f>
        <v/>
      </c>
      <c r="M9" s="10">
        <f>IFERROR((E9-K9)/E9,"")</f>
        <v/>
      </c>
      <c r="N9" s="8">
        <f>IF(E9="","",G9-F9)</f>
        <v/>
      </c>
      <c r="O9" s="8">
        <f>IF(E9="","",IF(M9&lt;0.45,"RED",IF(M9&lt;0.6,"AMBER","GREEN")))</f>
        <v/>
      </c>
      <c r="P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9" t="n"/>
      <c r="I10" s="9" t="n"/>
      <c r="J10" s="9">
        <f>IF(E10="","",F10*H10+I10)</f>
        <v/>
      </c>
      <c r="K10" s="9">
        <f>IF(E10="","",G10*H10+I10)</f>
        <v/>
      </c>
      <c r="L10" s="10">
        <f>IFERROR((E10-J10)/E10,"")</f>
        <v/>
      </c>
      <c r="M10" s="10">
        <f>IFERROR((E10-K10)/E10,"")</f>
        <v/>
      </c>
      <c r="N10" s="8">
        <f>IF(E10="","",G10-F10)</f>
        <v/>
      </c>
      <c r="O10" s="8">
        <f>IF(E10="","",IF(M10&lt;0.45,"RED",IF(M10&lt;0.6,"AMBER","GREEN")))</f>
        <v/>
      </c>
      <c r="P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9" t="n"/>
      <c r="I11" s="9" t="n"/>
      <c r="J11" s="9">
        <f>IF(E11="","",F11*H11+I11)</f>
        <v/>
      </c>
      <c r="K11" s="9">
        <f>IF(E11="","",G11*H11+I11)</f>
        <v/>
      </c>
      <c r="L11" s="10">
        <f>IFERROR((E11-J11)/E11,"")</f>
        <v/>
      </c>
      <c r="M11" s="10">
        <f>IFERROR((E11-K11)/E11,"")</f>
        <v/>
      </c>
      <c r="N11" s="8">
        <f>IF(E11="","",G11-F11)</f>
        <v/>
      </c>
      <c r="O11" s="8">
        <f>IF(E11="","",IF(M11&lt;0.45,"RED",IF(M11&lt;0.6,"AMBER","GREEN")))</f>
        <v/>
      </c>
      <c r="P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9" t="n"/>
      <c r="I12" s="9" t="n"/>
      <c r="J12" s="9">
        <f>IF(E12="","",F12*H12+I12)</f>
        <v/>
      </c>
      <c r="K12" s="9">
        <f>IF(E12="","",G12*H12+I12)</f>
        <v/>
      </c>
      <c r="L12" s="10">
        <f>IFERROR((E12-J12)/E12,"")</f>
        <v/>
      </c>
      <c r="M12" s="10">
        <f>IFERROR((E12-K12)/E12,"")</f>
        <v/>
      </c>
      <c r="N12" s="8">
        <f>IF(E12="","",G12-F12)</f>
        <v/>
      </c>
      <c r="O12" s="8">
        <f>IF(E12="","",IF(M12&lt;0.45,"RED",IF(M12&lt;0.6,"AMBER","GREEN")))</f>
        <v/>
      </c>
      <c r="P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9" t="n"/>
      <c r="I13" s="9" t="n"/>
      <c r="J13" s="9">
        <f>IF(E13="","",F13*H13+I13)</f>
        <v/>
      </c>
      <c r="K13" s="9">
        <f>IF(E13="","",G13*H13+I13)</f>
        <v/>
      </c>
      <c r="L13" s="10">
        <f>IFERROR((E13-J13)/E13,"")</f>
        <v/>
      </c>
      <c r="M13" s="10">
        <f>IFERROR((E13-K13)/E13,"")</f>
        <v/>
      </c>
      <c r="N13" s="8">
        <f>IF(E13="","",G13-F13)</f>
        <v/>
      </c>
      <c r="O13" s="8">
        <f>IF(E13="","",IF(M13&lt;0.45,"RED",IF(M13&lt;0.6,"AMBER","GREEN")))</f>
        <v/>
      </c>
      <c r="P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9" t="n"/>
      <c r="I14" s="9" t="n"/>
      <c r="J14" s="9">
        <f>IF(E14="","",F14*H14+I14)</f>
        <v/>
      </c>
      <c r="K14" s="9">
        <f>IF(E14="","",G14*H14+I14)</f>
        <v/>
      </c>
      <c r="L14" s="10">
        <f>IFERROR((E14-J14)/E14,"")</f>
        <v/>
      </c>
      <c r="M14" s="10">
        <f>IFERROR((E14-K14)/E14,"")</f>
        <v/>
      </c>
      <c r="N14" s="8">
        <f>IF(E14="","",G14-F14)</f>
        <v/>
      </c>
      <c r="O14" s="8">
        <f>IF(E14="","",IF(M14&lt;0.45,"RED",IF(M14&lt;0.6,"AMBER","GREEN")))</f>
        <v/>
      </c>
      <c r="P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9" t="n"/>
      <c r="I15" s="9" t="n"/>
      <c r="J15" s="9">
        <f>IF(E15="","",F15*H15+I15)</f>
        <v/>
      </c>
      <c r="K15" s="9">
        <f>IF(E15="","",G15*H15+I15)</f>
        <v/>
      </c>
      <c r="L15" s="10">
        <f>IFERROR((E15-J15)/E15,"")</f>
        <v/>
      </c>
      <c r="M15" s="10">
        <f>IFERROR((E15-K15)/E15,"")</f>
        <v/>
      </c>
      <c r="N15" s="8">
        <f>IF(E15="","",G15-F15)</f>
        <v/>
      </c>
      <c r="O15" s="8">
        <f>IF(E15="","",IF(M15&lt;0.45,"RED",IF(M15&lt;0.6,"AMBER","GREEN")))</f>
        <v/>
      </c>
      <c r="P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9" t="n"/>
      <c r="I16" s="9" t="n"/>
      <c r="J16" s="9">
        <f>IF(E16="","",F16*H16+I16)</f>
        <v/>
      </c>
      <c r="K16" s="9">
        <f>IF(E16="","",G16*H16+I16)</f>
        <v/>
      </c>
      <c r="L16" s="10">
        <f>IFERROR((E16-J16)/E16,"")</f>
        <v/>
      </c>
      <c r="M16" s="10">
        <f>IFERROR((E16-K16)/E16,"")</f>
        <v/>
      </c>
      <c r="N16" s="8">
        <f>IF(E16="","",G16-F16)</f>
        <v/>
      </c>
      <c r="O16" s="8">
        <f>IF(E16="","",IF(M16&lt;0.45,"RED",IF(M16&lt;0.6,"AMBER","GREEN")))</f>
        <v/>
      </c>
      <c r="P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9" t="n"/>
      <c r="I17" s="9" t="n"/>
      <c r="J17" s="9">
        <f>IF(E17="","",F17*H17+I17)</f>
        <v/>
      </c>
      <c r="K17" s="9">
        <f>IF(E17="","",G17*H17+I17)</f>
        <v/>
      </c>
      <c r="L17" s="10">
        <f>IFERROR((E17-J17)/E17,"")</f>
        <v/>
      </c>
      <c r="M17" s="10">
        <f>IFERROR((E17-K17)/E17,"")</f>
        <v/>
      </c>
      <c r="N17" s="8">
        <f>IF(E17="","",G17-F17)</f>
        <v/>
      </c>
      <c r="O17" s="8">
        <f>IF(E17="","",IF(M17&lt;0.45,"RED",IF(M17&lt;0.6,"AMBER","GREEN")))</f>
        <v/>
      </c>
      <c r="P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9" t="n"/>
      <c r="I18" s="9" t="n"/>
      <c r="J18" s="9">
        <f>IF(E18="","",F18*H18+I18)</f>
        <v/>
      </c>
      <c r="K18" s="9">
        <f>IF(E18="","",G18*H18+I18)</f>
        <v/>
      </c>
      <c r="L18" s="10">
        <f>IFERROR((E18-J18)/E18,"")</f>
        <v/>
      </c>
      <c r="M18" s="10">
        <f>IFERROR((E18-K18)/E18,"")</f>
        <v/>
      </c>
      <c r="N18" s="8">
        <f>IF(E18="","",G18-F18)</f>
        <v/>
      </c>
      <c r="O18" s="8">
        <f>IF(E18="","",IF(M18&lt;0.45,"RED",IF(M18&lt;0.6,"AMBER","GREEN")))</f>
        <v/>
      </c>
      <c r="P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9" t="n"/>
      <c r="I19" s="9" t="n"/>
      <c r="J19" s="9">
        <f>IF(E19="","",F19*H19+I19)</f>
        <v/>
      </c>
      <c r="K19" s="9">
        <f>IF(E19="","",G19*H19+I19)</f>
        <v/>
      </c>
      <c r="L19" s="10">
        <f>IFERROR((E19-J19)/E19,"")</f>
        <v/>
      </c>
      <c r="M19" s="10">
        <f>IFERROR((E19-K19)/E19,"")</f>
        <v/>
      </c>
      <c r="N19" s="8">
        <f>IF(E19="","",G19-F19)</f>
        <v/>
      </c>
      <c r="O19" s="8">
        <f>IF(E19="","",IF(M19&lt;0.45,"RED",IF(M19&lt;0.6,"AMBER","GREEN")))</f>
        <v/>
      </c>
      <c r="P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9" t="n"/>
      <c r="I20" s="9" t="n"/>
      <c r="J20" s="9">
        <f>IF(E20="","",F20*H20+I20)</f>
        <v/>
      </c>
      <c r="K20" s="9">
        <f>IF(E20="","",G20*H20+I20)</f>
        <v/>
      </c>
      <c r="L20" s="10">
        <f>IFERROR((E20-J20)/E20,"")</f>
        <v/>
      </c>
      <c r="M20" s="10">
        <f>IFERROR((E20-K20)/E20,"")</f>
        <v/>
      </c>
      <c r="N20" s="8">
        <f>IF(E20="","",G20-F20)</f>
        <v/>
      </c>
      <c r="O20" s="8">
        <f>IF(E20="","",IF(M20&lt;0.45,"RED",IF(M20&lt;0.6,"AMBER","GREEN")))</f>
        <v/>
      </c>
      <c r="P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9" t="n"/>
      <c r="I21" s="9" t="n"/>
      <c r="J21" s="9">
        <f>IF(E21="","",F21*H21+I21)</f>
        <v/>
      </c>
      <c r="K21" s="9">
        <f>IF(E21="","",G21*H21+I21)</f>
        <v/>
      </c>
      <c r="L21" s="10">
        <f>IFERROR((E21-J21)/E21,"")</f>
        <v/>
      </c>
      <c r="M21" s="10">
        <f>IFERROR((E21-K21)/E21,"")</f>
        <v/>
      </c>
      <c r="N21" s="8">
        <f>IF(E21="","",G21-F21)</f>
        <v/>
      </c>
      <c r="O21" s="8">
        <f>IF(E21="","",IF(M21&lt;0.45,"RED",IF(M21&lt;0.6,"AMBER","GREEN")))</f>
        <v/>
      </c>
      <c r="P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9" t="n"/>
      <c r="I22" s="9" t="n"/>
      <c r="J22" s="9">
        <f>IF(E22="","",F22*H22+I22)</f>
        <v/>
      </c>
      <c r="K22" s="9">
        <f>IF(E22="","",G22*H22+I22)</f>
        <v/>
      </c>
      <c r="L22" s="10">
        <f>IFERROR((E22-J22)/E22,"")</f>
        <v/>
      </c>
      <c r="M22" s="10">
        <f>IFERROR((E22-K22)/E22,"")</f>
        <v/>
      </c>
      <c r="N22" s="8">
        <f>IF(E22="","",G22-F22)</f>
        <v/>
      </c>
      <c r="O22" s="8">
        <f>IF(E22="","",IF(M22&lt;0.45,"RED",IF(M22&lt;0.6,"AMBER","GREEN")))</f>
        <v/>
      </c>
      <c r="P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9" t="n"/>
      <c r="I23" s="9" t="n"/>
      <c r="J23" s="9">
        <f>IF(E23="","",F23*H23+I23)</f>
        <v/>
      </c>
      <c r="K23" s="9">
        <f>IF(E23="","",G23*H23+I23)</f>
        <v/>
      </c>
      <c r="L23" s="10">
        <f>IFERROR((E23-J23)/E23,"")</f>
        <v/>
      </c>
      <c r="M23" s="10">
        <f>IFERROR((E23-K23)/E23,"")</f>
        <v/>
      </c>
      <c r="N23" s="8">
        <f>IF(E23="","",G23-F23)</f>
        <v/>
      </c>
      <c r="O23" s="8">
        <f>IF(E23="","",IF(M23&lt;0.45,"RED",IF(M23&lt;0.6,"AMBER","GREEN")))</f>
        <v/>
      </c>
      <c r="P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9" t="n"/>
      <c r="I24" s="9" t="n"/>
      <c r="J24" s="9">
        <f>IF(E24="","",F24*H24+I24)</f>
        <v/>
      </c>
      <c r="K24" s="9">
        <f>IF(E24="","",G24*H24+I24)</f>
        <v/>
      </c>
      <c r="L24" s="10">
        <f>IFERROR((E24-J24)/E24,"")</f>
        <v/>
      </c>
      <c r="M24" s="10">
        <f>IFERROR((E24-K24)/E24,"")</f>
        <v/>
      </c>
      <c r="N24" s="8">
        <f>IF(E24="","",G24-F24)</f>
        <v/>
      </c>
      <c r="O24" s="8">
        <f>IF(E24="","",IF(M24&lt;0.45,"RED",IF(M24&lt;0.6,"AMBER","GREEN")))</f>
        <v/>
      </c>
      <c r="P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  <c r="I25" s="9" t="n"/>
      <c r="J25" s="9">
        <f>IF(E25="","",F25*H25+I25)</f>
        <v/>
      </c>
      <c r="K25" s="9">
        <f>IF(E25="","",G25*H25+I25)</f>
        <v/>
      </c>
      <c r="L25" s="10">
        <f>IFERROR((E25-J25)/E25,"")</f>
        <v/>
      </c>
      <c r="M25" s="10">
        <f>IFERROR((E25-K25)/E25,"")</f>
        <v/>
      </c>
      <c r="N25" s="8">
        <f>IF(E25="","",G25-F25)</f>
        <v/>
      </c>
      <c r="O25" s="8">
        <f>IF(E25="","",IF(M25&lt;0.45,"RED",IF(M25&lt;0.6,"AMBER","GREEN")))</f>
        <v/>
      </c>
      <c r="P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9" t="n"/>
      <c r="I26" s="9" t="n"/>
      <c r="J26" s="9">
        <f>IF(E26="","",F26*H26+I26)</f>
        <v/>
      </c>
      <c r="K26" s="9">
        <f>IF(E26="","",G26*H26+I26)</f>
        <v/>
      </c>
      <c r="L26" s="10">
        <f>IFERROR((E26-J26)/E26,"")</f>
        <v/>
      </c>
      <c r="M26" s="10">
        <f>IFERROR((E26-K26)/E26,"")</f>
        <v/>
      </c>
      <c r="N26" s="8">
        <f>IF(E26="","",G26-F26)</f>
        <v/>
      </c>
      <c r="O26" s="8">
        <f>IF(E26="","",IF(M26&lt;0.45,"RED",IF(M26&lt;0.6,"AMBER","GREEN")))</f>
        <v/>
      </c>
      <c r="P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9" t="n"/>
      <c r="I27" s="9" t="n"/>
      <c r="J27" s="9">
        <f>IF(E27="","",F27*H27+I27)</f>
        <v/>
      </c>
      <c r="K27" s="9">
        <f>IF(E27="","",G27*H27+I27)</f>
        <v/>
      </c>
      <c r="L27" s="10">
        <f>IFERROR((E27-J27)/E27,"")</f>
        <v/>
      </c>
      <c r="M27" s="10">
        <f>IFERROR((E27-K27)/E27,"")</f>
        <v/>
      </c>
      <c r="N27" s="8">
        <f>IF(E27="","",G27-F27)</f>
        <v/>
      </c>
      <c r="O27" s="8">
        <f>IF(E27="","",IF(M27&lt;0.45,"RED",IF(M27&lt;0.6,"AMBER","GREEN")))</f>
        <v/>
      </c>
      <c r="P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9" t="n"/>
      <c r="I28" s="9" t="n"/>
      <c r="J28" s="9">
        <f>IF(E28="","",F28*H28+I28)</f>
        <v/>
      </c>
      <c r="K28" s="9">
        <f>IF(E28="","",G28*H28+I28)</f>
        <v/>
      </c>
      <c r="L28" s="10">
        <f>IFERROR((E28-J28)/E28,"")</f>
        <v/>
      </c>
      <c r="M28" s="10">
        <f>IFERROR((E28-K28)/E28,"")</f>
        <v/>
      </c>
      <c r="N28" s="8">
        <f>IF(E28="","",G28-F28)</f>
        <v/>
      </c>
      <c r="O28" s="8">
        <f>IF(E28="","",IF(M28&lt;0.45,"RED",IF(M28&lt;0.6,"AMBER","GREEN")))</f>
        <v/>
      </c>
      <c r="P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9" t="n"/>
      <c r="I29" s="9" t="n"/>
      <c r="J29" s="9">
        <f>IF(E29="","",F29*H29+I29)</f>
        <v/>
      </c>
      <c r="K29" s="9">
        <f>IF(E29="","",G29*H29+I29)</f>
        <v/>
      </c>
      <c r="L29" s="10">
        <f>IFERROR((E29-J29)/E29,"")</f>
        <v/>
      </c>
      <c r="M29" s="10">
        <f>IFERROR((E29-K29)/E29,"")</f>
        <v/>
      </c>
      <c r="N29" s="8">
        <f>IF(E29="","",G29-F29)</f>
        <v/>
      </c>
      <c r="O29" s="8">
        <f>IF(E29="","",IF(M29&lt;0.45,"RED",IF(M29&lt;0.6,"AMBER","GREEN")))</f>
        <v/>
      </c>
      <c r="P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9" t="n"/>
      <c r="I30" s="9" t="n"/>
      <c r="J30" s="9">
        <f>IF(E30="","",F30*H30+I30)</f>
        <v/>
      </c>
      <c r="K30" s="9">
        <f>IF(E30="","",G30*H30+I30)</f>
        <v/>
      </c>
      <c r="L30" s="10">
        <f>IFERROR((E30-J30)/E30,"")</f>
        <v/>
      </c>
      <c r="M30" s="10">
        <f>IFERROR((E30-K30)/E30,"")</f>
        <v/>
      </c>
      <c r="N30" s="8">
        <f>IF(E30="","",G30-F30)</f>
        <v/>
      </c>
      <c r="O30" s="8">
        <f>IF(E30="","",IF(M30&lt;0.45,"RED",IF(M30&lt;0.6,"AMBER","GREEN")))</f>
        <v/>
      </c>
      <c r="P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9" t="n"/>
      <c r="I31" s="9" t="n"/>
      <c r="J31" s="9">
        <f>IF(E31="","",F31*H31+I31)</f>
        <v/>
      </c>
      <c r="K31" s="9">
        <f>IF(E31="","",G31*H31+I31)</f>
        <v/>
      </c>
      <c r="L31" s="10">
        <f>IFERROR((E31-J31)/E31,"")</f>
        <v/>
      </c>
      <c r="M31" s="10">
        <f>IFERROR((E31-K31)/E31,"")</f>
        <v/>
      </c>
      <c r="N31" s="8">
        <f>IF(E31="","",G31-F31)</f>
        <v/>
      </c>
      <c r="O31" s="8">
        <f>IF(E31="","",IF(M31&lt;0.45,"RED",IF(M31&lt;0.6,"AMBER","GREEN")))</f>
        <v/>
      </c>
      <c r="P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9" t="n"/>
      <c r="I32" s="9" t="n"/>
      <c r="J32" s="9">
        <f>IF(E32="","",F32*H32+I32)</f>
        <v/>
      </c>
      <c r="K32" s="9">
        <f>IF(E32="","",G32*H32+I32)</f>
        <v/>
      </c>
      <c r="L32" s="10">
        <f>IFERROR((E32-J32)/E32,"")</f>
        <v/>
      </c>
      <c r="M32" s="10">
        <f>IFERROR((E32-K32)/E32,"")</f>
        <v/>
      </c>
      <c r="N32" s="8">
        <f>IF(E32="","",G32-F32)</f>
        <v/>
      </c>
      <c r="O32" s="8">
        <f>IF(E32="","",IF(M32&lt;0.45,"RED",IF(M32&lt;0.6,"AMBER","GREEN")))</f>
        <v/>
      </c>
      <c r="P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9" t="n"/>
      <c r="I33" s="9" t="n"/>
      <c r="J33" s="9">
        <f>IF(E33="","",F33*H33+I33)</f>
        <v/>
      </c>
      <c r="K33" s="9">
        <f>IF(E33="","",G33*H33+I33)</f>
        <v/>
      </c>
      <c r="L33" s="10">
        <f>IFERROR((E33-J33)/E33,"")</f>
        <v/>
      </c>
      <c r="M33" s="10">
        <f>IFERROR((E33-K33)/E33,"")</f>
        <v/>
      </c>
      <c r="N33" s="8">
        <f>IF(E33="","",G33-F33)</f>
        <v/>
      </c>
      <c r="O33" s="8">
        <f>IF(E33="","",IF(M33&lt;0.45,"RED",IF(M33&lt;0.6,"AMBER","GREEN")))</f>
        <v/>
      </c>
      <c r="P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9" t="n"/>
      <c r="I34" s="9" t="n"/>
      <c r="J34" s="9">
        <f>IF(E34="","",F34*H34+I34)</f>
        <v/>
      </c>
      <c r="K34" s="9">
        <f>IF(E34="","",G34*H34+I34)</f>
        <v/>
      </c>
      <c r="L34" s="10">
        <f>IFERROR((E34-J34)/E34,"")</f>
        <v/>
      </c>
      <c r="M34" s="10">
        <f>IFERROR((E34-K34)/E34,"")</f>
        <v/>
      </c>
      <c r="N34" s="8">
        <f>IF(E34="","",G34-F34)</f>
        <v/>
      </c>
      <c r="O34" s="8">
        <f>IF(E34="","",IF(M34&lt;0.45,"RED",IF(M34&lt;0.6,"AMBER","GREEN")))</f>
        <v/>
      </c>
      <c r="P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9" t="n"/>
      <c r="I35" s="9" t="n"/>
      <c r="J35" s="9">
        <f>IF(E35="","",F35*H35+I35)</f>
        <v/>
      </c>
      <c r="K35" s="9">
        <f>IF(E35="","",G35*H35+I35)</f>
        <v/>
      </c>
      <c r="L35" s="10">
        <f>IFERROR((E35-J35)/E35,"")</f>
        <v/>
      </c>
      <c r="M35" s="10">
        <f>IFERROR((E35-K35)/E35,"")</f>
        <v/>
      </c>
      <c r="N35" s="8">
        <f>IF(E35="","",G35-F35)</f>
        <v/>
      </c>
      <c r="O35" s="8">
        <f>IF(E35="","",IF(M35&lt;0.45,"RED",IF(M35&lt;0.6,"AMBER","GREEN")))</f>
        <v/>
      </c>
      <c r="P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9" t="n"/>
      <c r="I36" s="9" t="n"/>
      <c r="J36" s="9">
        <f>IF(E36="","",F36*H36+I36)</f>
        <v/>
      </c>
      <c r="K36" s="9">
        <f>IF(E36="","",G36*H36+I36)</f>
        <v/>
      </c>
      <c r="L36" s="10">
        <f>IFERROR((E36-J36)/E36,"")</f>
        <v/>
      </c>
      <c r="M36" s="10">
        <f>IFERROR((E36-K36)/E36,"")</f>
        <v/>
      </c>
      <c r="N36" s="8">
        <f>IF(E36="","",G36-F36)</f>
        <v/>
      </c>
      <c r="O36" s="8">
        <f>IF(E36="","",IF(M36&lt;0.45,"RED",IF(M36&lt;0.6,"AMBER","GREEN")))</f>
        <v/>
      </c>
      <c r="P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9" t="n"/>
      <c r="I37" s="9" t="n"/>
      <c r="J37" s="9">
        <f>IF(E37="","",F37*H37+I37)</f>
        <v/>
      </c>
      <c r="K37" s="9">
        <f>IF(E37="","",G37*H37+I37)</f>
        <v/>
      </c>
      <c r="L37" s="10">
        <f>IFERROR((E37-J37)/E37,"")</f>
        <v/>
      </c>
      <c r="M37" s="10">
        <f>IFERROR((E37-K37)/E37,"")</f>
        <v/>
      </c>
      <c r="N37" s="8">
        <f>IF(E37="","",G37-F37)</f>
        <v/>
      </c>
      <c r="O37" s="8">
        <f>IF(E37="","",IF(M37&lt;0.45,"RED",IF(M37&lt;0.6,"AMBER","GREEN")))</f>
        <v/>
      </c>
      <c r="P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9" t="n"/>
      <c r="I38" s="9" t="n"/>
      <c r="J38" s="9">
        <f>IF(E38="","",F38*H38+I38)</f>
        <v/>
      </c>
      <c r="K38" s="9">
        <f>IF(E38="","",G38*H38+I38)</f>
        <v/>
      </c>
      <c r="L38" s="10">
        <f>IFERROR((E38-J38)/E38,"")</f>
        <v/>
      </c>
      <c r="M38" s="10">
        <f>IFERROR((E38-K38)/E38,"")</f>
        <v/>
      </c>
      <c r="N38" s="8">
        <f>IF(E38="","",G38-F38)</f>
        <v/>
      </c>
      <c r="O38" s="8">
        <f>IF(E38="","",IF(M38&lt;0.45,"RED",IF(M38&lt;0.6,"AMBER","GREEN")))</f>
        <v/>
      </c>
      <c r="P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9" t="n"/>
      <c r="I39" s="9" t="n"/>
      <c r="J39" s="9">
        <f>IF(E39="","",F39*H39+I39)</f>
        <v/>
      </c>
      <c r="K39" s="9">
        <f>IF(E39="","",G39*H39+I39)</f>
        <v/>
      </c>
      <c r="L39" s="10">
        <f>IFERROR((E39-J39)/E39,"")</f>
        <v/>
      </c>
      <c r="M39" s="10">
        <f>IFERROR((E39-K39)/E39,"")</f>
        <v/>
      </c>
      <c r="N39" s="8">
        <f>IF(E39="","",G39-F39)</f>
        <v/>
      </c>
      <c r="O39" s="8">
        <f>IF(E39="","",IF(M39&lt;0.45,"RED",IF(M39&lt;0.6,"AMBER","GREEN")))</f>
        <v/>
      </c>
      <c r="P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9" t="n"/>
      <c r="I40" s="9" t="n"/>
      <c r="J40" s="9">
        <f>IF(E40="","",F40*H40+I40)</f>
        <v/>
      </c>
      <c r="K40" s="9">
        <f>IF(E40="","",G40*H40+I40)</f>
        <v/>
      </c>
      <c r="L40" s="10">
        <f>IFERROR((E40-J40)/E40,"")</f>
        <v/>
      </c>
      <c r="M40" s="10">
        <f>IFERROR((E40-K40)/E40,"")</f>
        <v/>
      </c>
      <c r="N40" s="8">
        <f>IF(E40="","",G40-F40)</f>
        <v/>
      </c>
      <c r="O40" s="8">
        <f>IF(E40="","",IF(M40&lt;0.45,"RED",IF(M40&lt;0.6,"AMBER","GREEN")))</f>
        <v/>
      </c>
      <c r="P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9" t="n"/>
      <c r="I41" s="9" t="n"/>
      <c r="J41" s="9">
        <f>IF(E41="","",F41*H41+I41)</f>
        <v/>
      </c>
      <c r="K41" s="9">
        <f>IF(E41="","",G41*H41+I41)</f>
        <v/>
      </c>
      <c r="L41" s="10">
        <f>IFERROR((E41-J41)/E41,"")</f>
        <v/>
      </c>
      <c r="M41" s="10">
        <f>IFERROR((E41-K41)/E41,"")</f>
        <v/>
      </c>
      <c r="N41" s="8">
        <f>IF(E41="","",G41-F41)</f>
        <v/>
      </c>
      <c r="O41" s="8">
        <f>IF(E41="","",IF(M41&lt;0.45,"RED",IF(M41&lt;0.6,"AMBER","GREEN")))</f>
        <v/>
      </c>
      <c r="P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9" t="n"/>
      <c r="I42" s="9" t="n"/>
      <c r="J42" s="9">
        <f>IF(E42="","",F42*H42+I42)</f>
        <v/>
      </c>
      <c r="K42" s="9">
        <f>IF(E42="","",G42*H42+I42)</f>
        <v/>
      </c>
      <c r="L42" s="10">
        <f>IFERROR((E42-J42)/E42,"")</f>
        <v/>
      </c>
      <c r="M42" s="10">
        <f>IFERROR((E42-K42)/E42,"")</f>
        <v/>
      </c>
      <c r="N42" s="8">
        <f>IF(E42="","",G42-F42)</f>
        <v/>
      </c>
      <c r="O42" s="8">
        <f>IF(E42="","",IF(M42&lt;0.45,"RED",IF(M42&lt;0.6,"AMBER","GREEN")))</f>
        <v/>
      </c>
      <c r="P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9" t="n"/>
      <c r="I43" s="9" t="n"/>
      <c r="J43" s="9">
        <f>IF(E43="","",F43*H43+I43)</f>
        <v/>
      </c>
      <c r="K43" s="9">
        <f>IF(E43="","",G43*H43+I43)</f>
        <v/>
      </c>
      <c r="L43" s="10">
        <f>IFERROR((E43-J43)/E43,"")</f>
        <v/>
      </c>
      <c r="M43" s="10">
        <f>IFERROR((E43-K43)/E43,"")</f>
        <v/>
      </c>
      <c r="N43" s="8">
        <f>IF(E43="","",G43-F43)</f>
        <v/>
      </c>
      <c r="O43" s="8">
        <f>IF(E43="","",IF(M43&lt;0.45,"RED",IF(M43&lt;0.6,"AMBER","GREEN")))</f>
        <v/>
      </c>
      <c r="P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9" t="n"/>
      <c r="I44" s="9" t="n"/>
      <c r="J44" s="9">
        <f>IF(E44="","",F44*H44+I44)</f>
        <v/>
      </c>
      <c r="K44" s="9">
        <f>IF(E44="","",G44*H44+I44)</f>
        <v/>
      </c>
      <c r="L44" s="10">
        <f>IFERROR((E44-J44)/E44,"")</f>
        <v/>
      </c>
      <c r="M44" s="10">
        <f>IFERROR((E44-K44)/E44,"")</f>
        <v/>
      </c>
      <c r="N44" s="8">
        <f>IF(E44="","",G44-F44)</f>
        <v/>
      </c>
      <c r="O44" s="8">
        <f>IF(E44="","",IF(M44&lt;0.45,"RED",IF(M44&lt;0.6,"AMBER","GREEN")))</f>
        <v/>
      </c>
      <c r="P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9" t="n"/>
      <c r="I45" s="9" t="n"/>
      <c r="J45" s="9">
        <f>IF(E45="","",F45*H45+I45)</f>
        <v/>
      </c>
      <c r="K45" s="9">
        <f>IF(E45="","",G45*H45+I45)</f>
        <v/>
      </c>
      <c r="L45" s="10">
        <f>IFERROR((E45-J45)/E45,"")</f>
        <v/>
      </c>
      <c r="M45" s="10">
        <f>IFERROR((E45-K45)/E45,"")</f>
        <v/>
      </c>
      <c r="N45" s="8">
        <f>IF(E45="","",G45-F45)</f>
        <v/>
      </c>
      <c r="O45" s="8">
        <f>IF(E45="","",IF(M45&lt;0.45,"RED",IF(M45&lt;0.6,"AMBER","GREEN")))</f>
        <v/>
      </c>
      <c r="P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  <c r="I46" s="9" t="n"/>
      <c r="J46" s="9">
        <f>IF(E46="","",F46*H46+I46)</f>
        <v/>
      </c>
      <c r="K46" s="9">
        <f>IF(E46="","",G46*H46+I46)</f>
        <v/>
      </c>
      <c r="L46" s="10">
        <f>IFERROR((E46-J46)/E46,"")</f>
        <v/>
      </c>
      <c r="M46" s="10">
        <f>IFERROR((E46-K46)/E46,"")</f>
        <v/>
      </c>
      <c r="N46" s="8">
        <f>IF(E46="","",G46-F46)</f>
        <v/>
      </c>
      <c r="O46" s="8">
        <f>IF(E46="","",IF(M46&lt;0.45,"RED",IF(M46&lt;0.6,"AMBER","GREEN")))</f>
        <v/>
      </c>
      <c r="P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9" t="n"/>
      <c r="I47" s="9" t="n"/>
      <c r="J47" s="9">
        <f>IF(E47="","",F47*H47+I47)</f>
        <v/>
      </c>
      <c r="K47" s="9">
        <f>IF(E47="","",G47*H47+I47)</f>
        <v/>
      </c>
      <c r="L47" s="10">
        <f>IFERROR((E47-J47)/E47,"")</f>
        <v/>
      </c>
      <c r="M47" s="10">
        <f>IFERROR((E47-K47)/E47,"")</f>
        <v/>
      </c>
      <c r="N47" s="8">
        <f>IF(E47="","",G47-F47)</f>
        <v/>
      </c>
      <c r="O47" s="8">
        <f>IF(E47="","",IF(M47&lt;0.45,"RED",IF(M47&lt;0.6,"AMBER","GREEN")))</f>
        <v/>
      </c>
      <c r="P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9" t="n"/>
      <c r="I48" s="9" t="n"/>
      <c r="J48" s="9">
        <f>IF(E48="","",F48*H48+I48)</f>
        <v/>
      </c>
      <c r="K48" s="9">
        <f>IF(E48="","",G48*H48+I48)</f>
        <v/>
      </c>
      <c r="L48" s="10">
        <f>IFERROR((E48-J48)/E48,"")</f>
        <v/>
      </c>
      <c r="M48" s="10">
        <f>IFERROR((E48-K48)/E48,"")</f>
        <v/>
      </c>
      <c r="N48" s="8">
        <f>IF(E48="","",G48-F48)</f>
        <v/>
      </c>
      <c r="O48" s="8">
        <f>IF(E48="","",IF(M48&lt;0.45,"RED",IF(M48&lt;0.6,"AMBER","GREEN")))</f>
        <v/>
      </c>
      <c r="P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9" t="n"/>
      <c r="I49" s="9" t="n"/>
      <c r="J49" s="9">
        <f>IF(E49="","",F49*H49+I49)</f>
        <v/>
      </c>
      <c r="K49" s="9">
        <f>IF(E49="","",G49*H49+I49)</f>
        <v/>
      </c>
      <c r="L49" s="10">
        <f>IFERROR((E49-J49)/E49,"")</f>
        <v/>
      </c>
      <c r="M49" s="10">
        <f>IFERROR((E49-K49)/E49,"")</f>
        <v/>
      </c>
      <c r="N49" s="8">
        <f>IF(E49="","",G49-F49)</f>
        <v/>
      </c>
      <c r="O49" s="8">
        <f>IF(E49="","",IF(M49&lt;0.45,"RED",IF(M49&lt;0.6,"AMBER","GREEN")))</f>
        <v/>
      </c>
      <c r="P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9" t="n"/>
      <c r="I50" s="9" t="n"/>
      <c r="J50" s="9">
        <f>IF(E50="","",F50*H50+I50)</f>
        <v/>
      </c>
      <c r="K50" s="9">
        <f>IF(E50="","",G50*H50+I50)</f>
        <v/>
      </c>
      <c r="L50" s="10">
        <f>IFERROR((E50-J50)/E50,"")</f>
        <v/>
      </c>
      <c r="M50" s="10">
        <f>IFERROR((E50-K50)/E50,"")</f>
        <v/>
      </c>
      <c r="N50" s="8">
        <f>IF(E50="","",G50-F50)</f>
        <v/>
      </c>
      <c r="O50" s="8">
        <f>IF(E50="","",IF(M50&lt;0.45,"RED",IF(M50&lt;0.6,"AMBER","GREEN")))</f>
        <v/>
      </c>
      <c r="P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9" t="n"/>
      <c r="I51" s="9" t="n"/>
      <c r="J51" s="9">
        <f>IF(E51="","",F51*H51+I51)</f>
        <v/>
      </c>
      <c r="K51" s="9">
        <f>IF(E51="","",G51*H51+I51)</f>
        <v/>
      </c>
      <c r="L51" s="10">
        <f>IFERROR((E51-J51)/E51,"")</f>
        <v/>
      </c>
      <c r="M51" s="10">
        <f>IFERROR((E51-K51)/E51,"")</f>
        <v/>
      </c>
      <c r="N51" s="8">
        <f>IF(E51="","",G51-F51)</f>
        <v/>
      </c>
      <c r="O51" s="8">
        <f>IF(E51="","",IF(M51&lt;0.45,"RED",IF(M51&lt;0.6,"AMBER","GREEN")))</f>
        <v/>
      </c>
      <c r="P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9" t="n"/>
      <c r="I52" s="9" t="n"/>
      <c r="J52" s="9">
        <f>IF(E52="","",F52*H52+I52)</f>
        <v/>
      </c>
      <c r="K52" s="9">
        <f>IF(E52="","",G52*H52+I52)</f>
        <v/>
      </c>
      <c r="L52" s="10">
        <f>IFERROR((E52-J52)/E52,"")</f>
        <v/>
      </c>
      <c r="M52" s="10">
        <f>IFERROR((E52-K52)/E52,"")</f>
        <v/>
      </c>
      <c r="N52" s="8">
        <f>IF(E52="","",G52-F52)</f>
        <v/>
      </c>
      <c r="O52" s="8">
        <f>IF(E52="","",IF(M52&lt;0.45,"RED",IF(M52&lt;0.6,"AMBER","GREEN")))</f>
        <v/>
      </c>
      <c r="P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9" t="n"/>
      <c r="I53" s="9" t="n"/>
      <c r="J53" s="9">
        <f>IF(E53="","",F53*H53+I53)</f>
        <v/>
      </c>
      <c r="K53" s="9">
        <f>IF(E53="","",G53*H53+I53)</f>
        <v/>
      </c>
      <c r="L53" s="10">
        <f>IFERROR((E53-J53)/E53,"")</f>
        <v/>
      </c>
      <c r="M53" s="10">
        <f>IFERROR((E53-K53)/E53,"")</f>
        <v/>
      </c>
      <c r="N53" s="8">
        <f>IF(E53="","",G53-F53)</f>
        <v/>
      </c>
      <c r="O53" s="8">
        <f>IF(E53="","",IF(M53&lt;0.45,"RED",IF(M53&lt;0.6,"AMBER","GREEN")))</f>
        <v/>
      </c>
      <c r="P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9" t="n"/>
      <c r="I54" s="9" t="n"/>
      <c r="J54" s="9">
        <f>IF(E54="","",F54*H54+I54)</f>
        <v/>
      </c>
      <c r="K54" s="9">
        <f>IF(E54="","",G54*H54+I54)</f>
        <v/>
      </c>
      <c r="L54" s="10">
        <f>IFERROR((E54-J54)/E54,"")</f>
        <v/>
      </c>
      <c r="M54" s="10">
        <f>IFERROR((E54-K54)/E54,"")</f>
        <v/>
      </c>
      <c r="N54" s="8">
        <f>IF(E54="","",G54-F54)</f>
        <v/>
      </c>
      <c r="O54" s="8">
        <f>IF(E54="","",IF(M54&lt;0.45,"RED",IF(M54&lt;0.6,"AMBER","GREEN")))</f>
        <v/>
      </c>
      <c r="P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9" t="n"/>
      <c r="I55" s="9" t="n"/>
      <c r="J55" s="9">
        <f>IF(E55="","",F55*H55+I55)</f>
        <v/>
      </c>
      <c r="K55" s="9">
        <f>IF(E55="","",G55*H55+I55)</f>
        <v/>
      </c>
      <c r="L55" s="10">
        <f>IFERROR((E55-J55)/E55,"")</f>
        <v/>
      </c>
      <c r="M55" s="10">
        <f>IFERROR((E55-K55)/E55,"")</f>
        <v/>
      </c>
      <c r="N55" s="8">
        <f>IF(E55="","",G55-F55)</f>
        <v/>
      </c>
      <c r="O55" s="8">
        <f>IF(E55="","",IF(M55&lt;0.45,"RED",IF(M55&lt;0.6,"AMBER","GREEN")))</f>
        <v/>
      </c>
      <c r="P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9" t="n"/>
      <c r="I56" s="9" t="n"/>
      <c r="J56" s="9">
        <f>IF(E56="","",F56*H56+I56)</f>
        <v/>
      </c>
      <c r="K56" s="9">
        <f>IF(E56="","",G56*H56+I56)</f>
        <v/>
      </c>
      <c r="L56" s="10">
        <f>IFERROR((E56-J56)/E56,"")</f>
        <v/>
      </c>
      <c r="M56" s="10">
        <f>IFERROR((E56-K56)/E56,"")</f>
        <v/>
      </c>
      <c r="N56" s="8">
        <f>IF(E56="","",G56-F56)</f>
        <v/>
      </c>
      <c r="O56" s="8">
        <f>IF(E56="","",IF(M56&lt;0.45,"RED",IF(M56&lt;0.6,"AMBER","GREEN")))</f>
        <v/>
      </c>
      <c r="P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9" t="n"/>
      <c r="I57" s="9" t="n"/>
      <c r="J57" s="9">
        <f>IF(E57="","",F57*H57+I57)</f>
        <v/>
      </c>
      <c r="K57" s="9">
        <f>IF(E57="","",G57*H57+I57)</f>
        <v/>
      </c>
      <c r="L57" s="10">
        <f>IFERROR((E57-J57)/E57,"")</f>
        <v/>
      </c>
      <c r="M57" s="10">
        <f>IFERROR((E57-K57)/E57,"")</f>
        <v/>
      </c>
      <c r="N57" s="8">
        <f>IF(E57="","",G57-F57)</f>
        <v/>
      </c>
      <c r="O57" s="8">
        <f>IF(E57="","",IF(M57&lt;0.45,"RED",IF(M57&lt;0.6,"AMBER","GREEN")))</f>
        <v/>
      </c>
      <c r="P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9" t="n"/>
      <c r="I58" s="9" t="n"/>
      <c r="J58" s="9">
        <f>IF(E58="","",F58*H58+I58)</f>
        <v/>
      </c>
      <c r="K58" s="9">
        <f>IF(E58="","",G58*H58+I58)</f>
        <v/>
      </c>
      <c r="L58" s="10">
        <f>IFERROR((E58-J58)/E58,"")</f>
        <v/>
      </c>
      <c r="M58" s="10">
        <f>IFERROR((E58-K58)/E58,"")</f>
        <v/>
      </c>
      <c r="N58" s="8">
        <f>IF(E58="","",G58-F58)</f>
        <v/>
      </c>
      <c r="O58" s="8">
        <f>IF(E58="","",IF(M58&lt;0.45,"RED",IF(M58&lt;0.6,"AMBER","GREEN")))</f>
        <v/>
      </c>
      <c r="P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9" t="n"/>
      <c r="I59" s="9" t="n"/>
      <c r="J59" s="9">
        <f>IF(E59="","",F59*H59+I59)</f>
        <v/>
      </c>
      <c r="K59" s="9">
        <f>IF(E59="","",G59*H59+I59)</f>
        <v/>
      </c>
      <c r="L59" s="10">
        <f>IFERROR((E59-J59)/E59,"")</f>
        <v/>
      </c>
      <c r="M59" s="10">
        <f>IFERROR((E59-K59)/E59,"")</f>
        <v/>
      </c>
      <c r="N59" s="8">
        <f>IF(E59="","",G59-F59)</f>
        <v/>
      </c>
      <c r="O59" s="8">
        <f>IF(E59="","",IF(M59&lt;0.45,"RED",IF(M59&lt;0.6,"AMBER","GREEN")))</f>
        <v/>
      </c>
      <c r="P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9" t="n"/>
      <c r="I60" s="9" t="n"/>
      <c r="J60" s="9">
        <f>IF(E60="","",F60*H60+I60)</f>
        <v/>
      </c>
      <c r="K60" s="9">
        <f>IF(E60="","",G60*H60+I60)</f>
        <v/>
      </c>
      <c r="L60" s="10">
        <f>IFERROR((E60-J60)/E60,"")</f>
        <v/>
      </c>
      <c r="M60" s="10">
        <f>IFERROR((E60-K60)/E60,"")</f>
        <v/>
      </c>
      <c r="N60" s="8">
        <f>IF(E60="","",G60-F60)</f>
        <v/>
      </c>
      <c r="O60" s="8">
        <f>IF(E60="","",IF(M60&lt;0.45,"RED",IF(M60&lt;0.6,"AMBER","GREEN")))</f>
        <v/>
      </c>
      <c r="P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9" t="n"/>
      <c r="I61" s="9" t="n"/>
      <c r="J61" s="9">
        <f>IF(E61="","",F61*H61+I61)</f>
        <v/>
      </c>
      <c r="K61" s="9">
        <f>IF(E61="","",G61*H61+I61)</f>
        <v/>
      </c>
      <c r="L61" s="10">
        <f>IFERROR((E61-J61)/E61,"")</f>
        <v/>
      </c>
      <c r="M61" s="10">
        <f>IFERROR((E61-K61)/E61,"")</f>
        <v/>
      </c>
      <c r="N61" s="8">
        <f>IF(E61="","",G61-F61)</f>
        <v/>
      </c>
      <c r="O61" s="8">
        <f>IF(E61="","",IF(M61&lt;0.45,"RED",IF(M61&lt;0.6,"AMBER","GREEN")))</f>
        <v/>
      </c>
      <c r="P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9" t="n"/>
      <c r="I62" s="9" t="n"/>
      <c r="J62" s="9">
        <f>IF(E62="","",F62*H62+I62)</f>
        <v/>
      </c>
      <c r="K62" s="9">
        <f>IF(E62="","",G62*H62+I62)</f>
        <v/>
      </c>
      <c r="L62" s="10">
        <f>IFERROR((E62-J62)/E62,"")</f>
        <v/>
      </c>
      <c r="M62" s="10">
        <f>IFERROR((E62-K62)/E62,"")</f>
        <v/>
      </c>
      <c r="N62" s="8">
        <f>IF(E62="","",G62-F62)</f>
        <v/>
      </c>
      <c r="O62" s="8">
        <f>IF(E62="","",IF(M62&lt;0.45,"RED",IF(M62&lt;0.6,"AMBER","GREEN")))</f>
        <v/>
      </c>
      <c r="P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  <c r="I63" s="9" t="n"/>
      <c r="J63" s="9">
        <f>IF(E63="","",F63*H63+I63)</f>
        <v/>
      </c>
      <c r="K63" s="9">
        <f>IF(E63="","",G63*H63+I63)</f>
        <v/>
      </c>
      <c r="L63" s="10">
        <f>IFERROR((E63-J63)/E63,"")</f>
        <v/>
      </c>
      <c r="M63" s="10">
        <f>IFERROR((E63-K63)/E63,"")</f>
        <v/>
      </c>
      <c r="N63" s="8">
        <f>IF(E63="","",G63-F63)</f>
        <v/>
      </c>
      <c r="O63" s="8">
        <f>IF(E63="","",IF(M63&lt;0.45,"RED",IF(M63&lt;0.6,"AMBER","GREEN")))</f>
        <v/>
      </c>
      <c r="P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9" t="n"/>
      <c r="I64" s="9" t="n"/>
      <c r="J64" s="9">
        <f>IF(E64="","",F64*H64+I64)</f>
        <v/>
      </c>
      <c r="K64" s="9">
        <f>IF(E64="","",G64*H64+I64)</f>
        <v/>
      </c>
      <c r="L64" s="10">
        <f>IFERROR((E64-J64)/E64,"")</f>
        <v/>
      </c>
      <c r="M64" s="10">
        <f>IFERROR((E64-K64)/E64,"")</f>
        <v/>
      </c>
      <c r="N64" s="8">
        <f>IF(E64="","",G64-F64)</f>
        <v/>
      </c>
      <c r="O64" s="8">
        <f>IF(E64="","",IF(M64&lt;0.45,"RED",IF(M64&lt;0.6,"AMBER","GREEN")))</f>
        <v/>
      </c>
      <c r="P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9" t="n"/>
      <c r="I65" s="9" t="n"/>
      <c r="J65" s="9">
        <f>IF(E65="","",F65*H65+I65)</f>
        <v/>
      </c>
      <c r="K65" s="9">
        <f>IF(E65="","",G65*H65+I65)</f>
        <v/>
      </c>
      <c r="L65" s="10">
        <f>IFERROR((E65-J65)/E65,"")</f>
        <v/>
      </c>
      <c r="M65" s="10">
        <f>IFERROR((E65-K65)/E65,"")</f>
        <v/>
      </c>
      <c r="N65" s="8">
        <f>IF(E65="","",G65-F65)</f>
        <v/>
      </c>
      <c r="O65" s="8">
        <f>IF(E65="","",IF(M65&lt;0.45,"RED",IF(M65&lt;0.6,"AMBER","GREEN")))</f>
        <v/>
      </c>
      <c r="P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9" t="n"/>
      <c r="I66" s="9" t="n"/>
      <c r="J66" s="9">
        <f>IF(E66="","",F66*H66+I66)</f>
        <v/>
      </c>
      <c r="K66" s="9">
        <f>IF(E66="","",G66*H66+I66)</f>
        <v/>
      </c>
      <c r="L66" s="10">
        <f>IFERROR((E66-J66)/E66,"")</f>
        <v/>
      </c>
      <c r="M66" s="10">
        <f>IFERROR((E66-K66)/E66,"")</f>
        <v/>
      </c>
      <c r="N66" s="8">
        <f>IF(E66="","",G66-F66)</f>
        <v/>
      </c>
      <c r="O66" s="8">
        <f>IF(E66="","",IF(M66&lt;0.45,"RED",IF(M66&lt;0.6,"AMBER","GREEN")))</f>
        <v/>
      </c>
      <c r="P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9" t="n"/>
      <c r="I67" s="9" t="n"/>
      <c r="J67" s="9">
        <f>IF(E67="","",F67*H67+I67)</f>
        <v/>
      </c>
      <c r="K67" s="9">
        <f>IF(E67="","",G67*H67+I67)</f>
        <v/>
      </c>
      <c r="L67" s="10">
        <f>IFERROR((E67-J67)/E67,"")</f>
        <v/>
      </c>
      <c r="M67" s="10">
        <f>IFERROR((E67-K67)/E67,"")</f>
        <v/>
      </c>
      <c r="N67" s="8">
        <f>IF(E67="","",G67-F67)</f>
        <v/>
      </c>
      <c r="O67" s="8">
        <f>IF(E67="","",IF(M67&lt;0.45,"RED",IF(M67&lt;0.6,"AMBER","GREEN")))</f>
        <v/>
      </c>
      <c r="P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9" t="n"/>
      <c r="I68" s="9" t="n"/>
      <c r="J68" s="9">
        <f>IF(E68="","",F68*H68+I68)</f>
        <v/>
      </c>
      <c r="K68" s="9">
        <f>IF(E68="","",G68*H68+I68)</f>
        <v/>
      </c>
      <c r="L68" s="10">
        <f>IFERROR((E68-J68)/E68,"")</f>
        <v/>
      </c>
      <c r="M68" s="10">
        <f>IFERROR((E68-K68)/E68,"")</f>
        <v/>
      </c>
      <c r="N68" s="8">
        <f>IF(E68="","",G68-F68)</f>
        <v/>
      </c>
      <c r="O68" s="8">
        <f>IF(E68="","",IF(M68&lt;0.45,"RED",IF(M68&lt;0.6,"AMBER","GREEN")))</f>
        <v/>
      </c>
      <c r="P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9" t="n"/>
      <c r="I69" s="9" t="n"/>
      <c r="J69" s="9">
        <f>IF(E69="","",F69*H69+I69)</f>
        <v/>
      </c>
      <c r="K69" s="9">
        <f>IF(E69="","",G69*H69+I69)</f>
        <v/>
      </c>
      <c r="L69" s="10">
        <f>IFERROR((E69-J69)/E69,"")</f>
        <v/>
      </c>
      <c r="M69" s="10">
        <f>IFERROR((E69-K69)/E69,"")</f>
        <v/>
      </c>
      <c r="N69" s="8">
        <f>IF(E69="","",G69-F69)</f>
        <v/>
      </c>
      <c r="O69" s="8">
        <f>IF(E69="","",IF(M69&lt;0.45,"RED",IF(M69&lt;0.6,"AMBER","GREEN")))</f>
        <v/>
      </c>
      <c r="P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9" t="n"/>
      <c r="I70" s="9" t="n"/>
      <c r="J70" s="9">
        <f>IF(E70="","",F70*H70+I70)</f>
        <v/>
      </c>
      <c r="K70" s="9">
        <f>IF(E70="","",G70*H70+I70)</f>
        <v/>
      </c>
      <c r="L70" s="10">
        <f>IFERROR((E70-J70)/E70,"")</f>
        <v/>
      </c>
      <c r="M70" s="10">
        <f>IFERROR((E70-K70)/E70,"")</f>
        <v/>
      </c>
      <c r="N70" s="8">
        <f>IF(E70="","",G70-F70)</f>
        <v/>
      </c>
      <c r="O70" s="8">
        <f>IF(E70="","",IF(M70&lt;0.45,"RED",IF(M70&lt;0.6,"AMBER","GREEN")))</f>
        <v/>
      </c>
      <c r="P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9" t="n"/>
      <c r="I71" s="9" t="n"/>
      <c r="J71" s="9">
        <f>IF(E71="","",F71*H71+I71)</f>
        <v/>
      </c>
      <c r="K71" s="9">
        <f>IF(E71="","",G71*H71+I71)</f>
        <v/>
      </c>
      <c r="L71" s="10">
        <f>IFERROR((E71-J71)/E71,"")</f>
        <v/>
      </c>
      <c r="M71" s="10">
        <f>IFERROR((E71-K71)/E71,"")</f>
        <v/>
      </c>
      <c r="N71" s="8">
        <f>IF(E71="","",G71-F71)</f>
        <v/>
      </c>
      <c r="O71" s="8">
        <f>IF(E71="","",IF(M71&lt;0.45,"RED",IF(M71&lt;0.6,"AMBER","GREEN")))</f>
        <v/>
      </c>
      <c r="P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9" t="n"/>
      <c r="I72" s="9" t="n"/>
      <c r="J72" s="9">
        <f>IF(E72="","",F72*H72+I72)</f>
        <v/>
      </c>
      <c r="K72" s="9">
        <f>IF(E72="","",G72*H72+I72)</f>
        <v/>
      </c>
      <c r="L72" s="10">
        <f>IFERROR((E72-J72)/E72,"")</f>
        <v/>
      </c>
      <c r="M72" s="10">
        <f>IFERROR((E72-K72)/E72,"")</f>
        <v/>
      </c>
      <c r="N72" s="8">
        <f>IF(E72="","",G72-F72)</f>
        <v/>
      </c>
      <c r="O72" s="8">
        <f>IF(E72="","",IF(M72&lt;0.45,"RED",IF(M72&lt;0.6,"AMBER","GREEN")))</f>
        <v/>
      </c>
      <c r="P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9" t="n"/>
      <c r="I73" s="9" t="n"/>
      <c r="J73" s="9">
        <f>IF(E73="","",F73*H73+I73)</f>
        <v/>
      </c>
      <c r="K73" s="9">
        <f>IF(E73="","",G73*H73+I73)</f>
        <v/>
      </c>
      <c r="L73" s="10">
        <f>IFERROR((E73-J73)/E73,"")</f>
        <v/>
      </c>
      <c r="M73" s="10">
        <f>IFERROR((E73-K73)/E73,"")</f>
        <v/>
      </c>
      <c r="N73" s="8">
        <f>IF(E73="","",G73-F73)</f>
        <v/>
      </c>
      <c r="O73" s="8">
        <f>IF(E73="","",IF(M73&lt;0.45,"RED",IF(M73&lt;0.6,"AMBER","GREEN")))</f>
        <v/>
      </c>
      <c r="P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9" t="n"/>
      <c r="I74" s="9" t="n"/>
      <c r="J74" s="9">
        <f>IF(E74="","",F74*H74+I74)</f>
        <v/>
      </c>
      <c r="K74" s="9">
        <f>IF(E74="","",G74*H74+I74)</f>
        <v/>
      </c>
      <c r="L74" s="10">
        <f>IFERROR((E74-J74)/E74,"")</f>
        <v/>
      </c>
      <c r="M74" s="10">
        <f>IFERROR((E74-K74)/E74,"")</f>
        <v/>
      </c>
      <c r="N74" s="8">
        <f>IF(E74="","",G74-F74)</f>
        <v/>
      </c>
      <c r="O74" s="8">
        <f>IF(E74="","",IF(M74&lt;0.45,"RED",IF(M74&lt;0.6,"AMBER","GREEN")))</f>
        <v/>
      </c>
      <c r="P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9" t="n"/>
      <c r="I75" s="9" t="n"/>
      <c r="J75" s="9">
        <f>IF(E75="","",F75*H75+I75)</f>
        <v/>
      </c>
      <c r="K75" s="9">
        <f>IF(E75="","",G75*H75+I75)</f>
        <v/>
      </c>
      <c r="L75" s="10">
        <f>IFERROR((E75-J75)/E75,"")</f>
        <v/>
      </c>
      <c r="M75" s="10">
        <f>IFERROR((E75-K75)/E75,"")</f>
        <v/>
      </c>
      <c r="N75" s="8">
        <f>IF(E75="","",G75-F75)</f>
        <v/>
      </c>
      <c r="O75" s="8">
        <f>IF(E75="","",IF(M75&lt;0.45,"RED",IF(M75&lt;0.6,"AMBER","GREEN")))</f>
        <v/>
      </c>
      <c r="P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9" t="n"/>
      <c r="I76" s="9" t="n"/>
      <c r="J76" s="9">
        <f>IF(E76="","",F76*H76+I76)</f>
        <v/>
      </c>
      <c r="K76" s="9">
        <f>IF(E76="","",G76*H76+I76)</f>
        <v/>
      </c>
      <c r="L76" s="10">
        <f>IFERROR((E76-J76)/E76,"")</f>
        <v/>
      </c>
      <c r="M76" s="10">
        <f>IFERROR((E76-K76)/E76,"")</f>
        <v/>
      </c>
      <c r="N76" s="8">
        <f>IF(E76="","",G76-F76)</f>
        <v/>
      </c>
      <c r="O76" s="8">
        <f>IF(E76="","",IF(M76&lt;0.45,"RED",IF(M76&lt;0.6,"AMBER","GREEN")))</f>
        <v/>
      </c>
      <c r="P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9" t="n"/>
      <c r="I77" s="9" t="n"/>
      <c r="J77" s="9">
        <f>IF(E77="","",F77*H77+I77)</f>
        <v/>
      </c>
      <c r="K77" s="9">
        <f>IF(E77="","",G77*H77+I77)</f>
        <v/>
      </c>
      <c r="L77" s="10">
        <f>IFERROR((E77-J77)/E77,"")</f>
        <v/>
      </c>
      <c r="M77" s="10">
        <f>IFERROR((E77-K77)/E77,"")</f>
        <v/>
      </c>
      <c r="N77" s="8">
        <f>IF(E77="","",G77-F77)</f>
        <v/>
      </c>
      <c r="O77" s="8">
        <f>IF(E77="","",IF(M77&lt;0.45,"RED",IF(M77&lt;0.6,"AMBER","GREEN")))</f>
        <v/>
      </c>
      <c r="P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9" t="n"/>
      <c r="I78" s="9" t="n"/>
      <c r="J78" s="9">
        <f>IF(E78="","",F78*H78+I78)</f>
        <v/>
      </c>
      <c r="K78" s="9">
        <f>IF(E78="","",G78*H78+I78)</f>
        <v/>
      </c>
      <c r="L78" s="10">
        <f>IFERROR((E78-J78)/E78,"")</f>
        <v/>
      </c>
      <c r="M78" s="10">
        <f>IFERROR((E78-K78)/E78,"")</f>
        <v/>
      </c>
      <c r="N78" s="8">
        <f>IF(E78="","",G78-F78)</f>
        <v/>
      </c>
      <c r="O78" s="8">
        <f>IF(E78="","",IF(M78&lt;0.45,"RED",IF(M78&lt;0.6,"AMBER","GREEN")))</f>
        <v/>
      </c>
      <c r="P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9" t="n"/>
      <c r="I79" s="9" t="n"/>
      <c r="J79" s="9">
        <f>IF(E79="","",F79*H79+I79)</f>
        <v/>
      </c>
      <c r="K79" s="9">
        <f>IF(E79="","",G79*H79+I79)</f>
        <v/>
      </c>
      <c r="L79" s="10">
        <f>IFERROR((E79-J79)/E79,"")</f>
        <v/>
      </c>
      <c r="M79" s="10">
        <f>IFERROR((E79-K79)/E79,"")</f>
        <v/>
      </c>
      <c r="N79" s="8">
        <f>IF(E79="","",G79-F79)</f>
        <v/>
      </c>
      <c r="O79" s="8">
        <f>IF(E79="","",IF(M79&lt;0.45,"RED",IF(M79&lt;0.6,"AMBER","GREEN")))</f>
        <v/>
      </c>
      <c r="P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9" t="n"/>
      <c r="I80" s="9" t="n"/>
      <c r="J80" s="9">
        <f>IF(E80="","",F80*H80+I80)</f>
        <v/>
      </c>
      <c r="K80" s="9">
        <f>IF(E80="","",G80*H80+I80)</f>
        <v/>
      </c>
      <c r="L80" s="10">
        <f>IFERROR((E80-J80)/E80,"")</f>
        <v/>
      </c>
      <c r="M80" s="10">
        <f>IFERROR((E80-K80)/E80,"")</f>
        <v/>
      </c>
      <c r="N80" s="8">
        <f>IF(E80="","",G80-F80)</f>
        <v/>
      </c>
      <c r="O80" s="8">
        <f>IF(E80="","",IF(M80&lt;0.45,"RED",IF(M80&lt;0.6,"AMBER","GREEN")))</f>
        <v/>
      </c>
      <c r="P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9" t="n"/>
      <c r="I81" s="9" t="n"/>
      <c r="J81" s="9">
        <f>IF(E81="","",F81*H81+I81)</f>
        <v/>
      </c>
      <c r="K81" s="9">
        <f>IF(E81="","",G81*H81+I81)</f>
        <v/>
      </c>
      <c r="L81" s="10">
        <f>IFERROR((E81-J81)/E81,"")</f>
        <v/>
      </c>
      <c r="M81" s="10">
        <f>IFERROR((E81-K81)/E81,"")</f>
        <v/>
      </c>
      <c r="N81" s="8">
        <f>IF(E81="","",G81-F81)</f>
        <v/>
      </c>
      <c r="O81" s="8">
        <f>IF(E81="","",IF(M81&lt;0.45,"RED",IF(M81&lt;0.6,"AMBER","GREEN")))</f>
        <v/>
      </c>
      <c r="P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9" t="n"/>
      <c r="I82" s="9" t="n"/>
      <c r="J82" s="9">
        <f>IF(E82="","",F82*H82+I82)</f>
        <v/>
      </c>
      <c r="K82" s="9">
        <f>IF(E82="","",G82*H82+I82)</f>
        <v/>
      </c>
      <c r="L82" s="10">
        <f>IFERROR((E82-J82)/E82,"")</f>
        <v/>
      </c>
      <c r="M82" s="10">
        <f>IFERROR((E82-K82)/E82,"")</f>
        <v/>
      </c>
      <c r="N82" s="8">
        <f>IF(E82="","",G82-F82)</f>
        <v/>
      </c>
      <c r="O82" s="8">
        <f>IF(E82="","",IF(M82&lt;0.45,"RED",IF(M82&lt;0.6,"AMBER","GREEN")))</f>
        <v/>
      </c>
      <c r="P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9" t="n"/>
      <c r="I83" s="9" t="n"/>
      <c r="J83" s="9">
        <f>IF(E83="","",F83*H83+I83)</f>
        <v/>
      </c>
      <c r="K83" s="9">
        <f>IF(E83="","",G83*H83+I83)</f>
        <v/>
      </c>
      <c r="L83" s="10">
        <f>IFERROR((E83-J83)/E83,"")</f>
        <v/>
      </c>
      <c r="M83" s="10">
        <f>IFERROR((E83-K83)/E83,"")</f>
        <v/>
      </c>
      <c r="N83" s="8">
        <f>IF(E83="","",G83-F83)</f>
        <v/>
      </c>
      <c r="O83" s="8">
        <f>IF(E83="","",IF(M83&lt;0.45,"RED",IF(M83&lt;0.6,"AMBER","GREEN")))</f>
        <v/>
      </c>
      <c r="P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9" t="n"/>
      <c r="I84" s="9" t="n"/>
      <c r="J84" s="9">
        <f>IF(E84="","",F84*H84+I84)</f>
        <v/>
      </c>
      <c r="K84" s="9">
        <f>IF(E84="","",G84*H84+I84)</f>
        <v/>
      </c>
      <c r="L84" s="10">
        <f>IFERROR((E84-J84)/E84,"")</f>
        <v/>
      </c>
      <c r="M84" s="10">
        <f>IFERROR((E84-K84)/E84,"")</f>
        <v/>
      </c>
      <c r="N84" s="8">
        <f>IF(E84="","",G84-F84)</f>
        <v/>
      </c>
      <c r="O84" s="8">
        <f>IF(E84="","",IF(M84&lt;0.45,"RED",IF(M84&lt;0.6,"AMBER","GREEN")))</f>
        <v/>
      </c>
      <c r="P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9" t="n"/>
      <c r="I85" s="9" t="n"/>
      <c r="J85" s="9">
        <f>IF(E85="","",F85*H85+I85)</f>
        <v/>
      </c>
      <c r="K85" s="9">
        <f>IF(E85="","",G85*H85+I85)</f>
        <v/>
      </c>
      <c r="L85" s="10">
        <f>IFERROR((E85-J85)/E85,"")</f>
        <v/>
      </c>
      <c r="M85" s="10">
        <f>IFERROR((E85-K85)/E85,"")</f>
        <v/>
      </c>
      <c r="N85" s="8">
        <f>IF(E85="","",G85-F85)</f>
        <v/>
      </c>
      <c r="O85" s="8">
        <f>IF(E85="","",IF(M85&lt;0.45,"RED",IF(M85&lt;0.6,"AMBER","GREEN")))</f>
        <v/>
      </c>
      <c r="P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9" t="n"/>
      <c r="I86" s="9" t="n"/>
      <c r="J86" s="9">
        <f>IF(E86="","",F86*H86+I86)</f>
        <v/>
      </c>
      <c r="K86" s="9">
        <f>IF(E86="","",G86*H86+I86)</f>
        <v/>
      </c>
      <c r="L86" s="10">
        <f>IFERROR((E86-J86)/E86,"")</f>
        <v/>
      </c>
      <c r="M86" s="10">
        <f>IFERROR((E86-K86)/E86,"")</f>
        <v/>
      </c>
      <c r="N86" s="8">
        <f>IF(E86="","",G86-F86)</f>
        <v/>
      </c>
      <c r="O86" s="8">
        <f>IF(E86="","",IF(M86&lt;0.45,"RED",IF(M86&lt;0.6,"AMBER","GREEN")))</f>
        <v/>
      </c>
      <c r="P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9" t="n"/>
      <c r="I87" s="9" t="n"/>
      <c r="J87" s="9">
        <f>IF(E87="","",F87*H87+I87)</f>
        <v/>
      </c>
      <c r="K87" s="9">
        <f>IF(E87="","",G87*H87+I87)</f>
        <v/>
      </c>
      <c r="L87" s="10">
        <f>IFERROR((E87-J87)/E87,"")</f>
        <v/>
      </c>
      <c r="M87" s="10">
        <f>IFERROR((E87-K87)/E87,"")</f>
        <v/>
      </c>
      <c r="N87" s="8">
        <f>IF(E87="","",G87-F87)</f>
        <v/>
      </c>
      <c r="O87" s="8">
        <f>IF(E87="","",IF(M87&lt;0.45,"RED",IF(M87&lt;0.6,"AMBER","GREEN")))</f>
        <v/>
      </c>
      <c r="P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9" t="n"/>
      <c r="I88" s="9" t="n"/>
      <c r="J88" s="9">
        <f>IF(E88="","",F88*H88+I88)</f>
        <v/>
      </c>
      <c r="K88" s="9">
        <f>IF(E88="","",G88*H88+I88)</f>
        <v/>
      </c>
      <c r="L88" s="10">
        <f>IFERROR((E88-J88)/E88,"")</f>
        <v/>
      </c>
      <c r="M88" s="10">
        <f>IFERROR((E88-K88)/E88,"")</f>
        <v/>
      </c>
      <c r="N88" s="8">
        <f>IF(E88="","",G88-F88)</f>
        <v/>
      </c>
      <c r="O88" s="8">
        <f>IF(E88="","",IF(M88&lt;0.45,"RED",IF(M88&lt;0.6,"AMBER","GREEN")))</f>
        <v/>
      </c>
      <c r="P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9" t="n"/>
      <c r="I89" s="9" t="n"/>
      <c r="J89" s="9">
        <f>IF(E89="","",F89*H89+I89)</f>
        <v/>
      </c>
      <c r="K89" s="9">
        <f>IF(E89="","",G89*H89+I89)</f>
        <v/>
      </c>
      <c r="L89" s="10">
        <f>IFERROR((E89-J89)/E89,"")</f>
        <v/>
      </c>
      <c r="M89" s="10">
        <f>IFERROR((E89-K89)/E89,"")</f>
        <v/>
      </c>
      <c r="N89" s="8">
        <f>IF(E89="","",G89-F89)</f>
        <v/>
      </c>
      <c r="O89" s="8">
        <f>IF(E89="","",IF(M89&lt;0.45,"RED",IF(M89&lt;0.6,"AMBER","GREEN")))</f>
        <v/>
      </c>
      <c r="P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9" t="n"/>
      <c r="I90" s="9" t="n"/>
      <c r="J90" s="9">
        <f>IF(E90="","",F90*H90+I90)</f>
        <v/>
      </c>
      <c r="K90" s="9">
        <f>IF(E90="","",G90*H90+I90)</f>
        <v/>
      </c>
      <c r="L90" s="10">
        <f>IFERROR((E90-J90)/E90,"")</f>
        <v/>
      </c>
      <c r="M90" s="10">
        <f>IFERROR((E90-K90)/E90,"")</f>
        <v/>
      </c>
      <c r="N90" s="8">
        <f>IF(E90="","",G90-F90)</f>
        <v/>
      </c>
      <c r="O90" s="8">
        <f>IF(E90="","",IF(M90&lt;0.45,"RED",IF(M90&lt;0.6,"AMBER","GREEN")))</f>
        <v/>
      </c>
      <c r="P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9" t="n"/>
      <c r="I91" s="9" t="n"/>
      <c r="J91" s="9">
        <f>IF(E91="","",F91*H91+I91)</f>
        <v/>
      </c>
      <c r="K91" s="9">
        <f>IF(E91="","",G91*H91+I91)</f>
        <v/>
      </c>
      <c r="L91" s="10">
        <f>IFERROR((E91-J91)/E91,"")</f>
        <v/>
      </c>
      <c r="M91" s="10">
        <f>IFERROR((E91-K91)/E91,"")</f>
        <v/>
      </c>
      <c r="N91" s="8">
        <f>IF(E91="","",G91-F91)</f>
        <v/>
      </c>
      <c r="O91" s="8">
        <f>IF(E91="","",IF(M91&lt;0.45,"RED",IF(M91&lt;0.6,"AMBER","GREEN")))</f>
        <v/>
      </c>
      <c r="P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9" t="n"/>
      <c r="I92" s="9" t="n"/>
      <c r="J92" s="9">
        <f>IF(E92="","",F92*H92+I92)</f>
        <v/>
      </c>
      <c r="K92" s="9">
        <f>IF(E92="","",G92*H92+I92)</f>
        <v/>
      </c>
      <c r="L92" s="10">
        <f>IFERROR((E92-J92)/E92,"")</f>
        <v/>
      </c>
      <c r="M92" s="10">
        <f>IFERROR((E92-K92)/E92,"")</f>
        <v/>
      </c>
      <c r="N92" s="8">
        <f>IF(E92="","",G92-F92)</f>
        <v/>
      </c>
      <c r="O92" s="8">
        <f>IF(E92="","",IF(M92&lt;0.45,"RED",IF(M92&lt;0.6,"AMBER","GREEN")))</f>
        <v/>
      </c>
      <c r="P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9" t="n"/>
      <c r="I93" s="9" t="n"/>
      <c r="J93" s="9">
        <f>IF(E93="","",F93*H93+I93)</f>
        <v/>
      </c>
      <c r="K93" s="9">
        <f>IF(E93="","",G93*H93+I93)</f>
        <v/>
      </c>
      <c r="L93" s="10">
        <f>IFERROR((E93-J93)/E93,"")</f>
        <v/>
      </c>
      <c r="M93" s="10">
        <f>IFERROR((E93-K93)/E93,"")</f>
        <v/>
      </c>
      <c r="N93" s="8">
        <f>IF(E93="","",G93-F93)</f>
        <v/>
      </c>
      <c r="O93" s="8">
        <f>IF(E93="","",IF(M93&lt;0.45,"RED",IF(M93&lt;0.6,"AMBER","GREEN")))</f>
        <v/>
      </c>
      <c r="P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9" t="n"/>
      <c r="I94" s="9" t="n"/>
      <c r="J94" s="9">
        <f>IF(E94="","",F94*H94+I94)</f>
        <v/>
      </c>
      <c r="K94" s="9">
        <f>IF(E94="","",G94*H94+I94)</f>
        <v/>
      </c>
      <c r="L94" s="10">
        <f>IFERROR((E94-J94)/E94,"")</f>
        <v/>
      </c>
      <c r="M94" s="10">
        <f>IFERROR((E94-K94)/E94,"")</f>
        <v/>
      </c>
      <c r="N94" s="8">
        <f>IF(E94="","",G94-F94)</f>
        <v/>
      </c>
      <c r="O94" s="8">
        <f>IF(E94="","",IF(M94&lt;0.45,"RED",IF(M94&lt;0.6,"AMBER","GREEN")))</f>
        <v/>
      </c>
      <c r="P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9" t="n"/>
      <c r="I95" s="9" t="n"/>
      <c r="J95" s="9">
        <f>IF(E95="","",F95*H95+I95)</f>
        <v/>
      </c>
      <c r="K95" s="9">
        <f>IF(E95="","",G95*H95+I95)</f>
        <v/>
      </c>
      <c r="L95" s="10">
        <f>IFERROR((E95-J95)/E95,"")</f>
        <v/>
      </c>
      <c r="M95" s="10">
        <f>IFERROR((E95-K95)/E95,"")</f>
        <v/>
      </c>
      <c r="N95" s="8">
        <f>IF(E95="","",G95-F95)</f>
        <v/>
      </c>
      <c r="O95" s="8">
        <f>IF(E95="","",IF(M95&lt;0.45,"RED",IF(M95&lt;0.6,"AMBER","GREEN")))</f>
        <v/>
      </c>
      <c r="P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9" t="n"/>
      <c r="I96" s="9" t="n"/>
      <c r="J96" s="9">
        <f>IF(E96="","",F96*H96+I96)</f>
        <v/>
      </c>
      <c r="K96" s="9">
        <f>IF(E96="","",G96*H96+I96)</f>
        <v/>
      </c>
      <c r="L96" s="10">
        <f>IFERROR((E96-J96)/E96,"")</f>
        <v/>
      </c>
      <c r="M96" s="10">
        <f>IFERROR((E96-K96)/E96,"")</f>
        <v/>
      </c>
      <c r="N96" s="8">
        <f>IF(E96="","",G96-F96)</f>
        <v/>
      </c>
      <c r="O96" s="8">
        <f>IF(E96="","",IF(M96&lt;0.45,"RED",IF(M96&lt;0.6,"AMBER","GREEN")))</f>
        <v/>
      </c>
      <c r="P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9" t="n"/>
      <c r="I97" s="9" t="n"/>
      <c r="J97" s="9">
        <f>IF(E97="","",F97*H97+I97)</f>
        <v/>
      </c>
      <c r="K97" s="9">
        <f>IF(E97="","",G97*H97+I97)</f>
        <v/>
      </c>
      <c r="L97" s="10">
        <f>IFERROR((E97-J97)/E97,"")</f>
        <v/>
      </c>
      <c r="M97" s="10">
        <f>IFERROR((E97-K97)/E97,"")</f>
        <v/>
      </c>
      <c r="N97" s="8">
        <f>IF(E97="","",G97-F97)</f>
        <v/>
      </c>
      <c r="O97" s="8">
        <f>IF(E97="","",IF(M97&lt;0.45,"RED",IF(M97&lt;0.6,"AMBER","GREEN")))</f>
        <v/>
      </c>
      <c r="P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9" t="n"/>
      <c r="I98" s="9" t="n"/>
      <c r="J98" s="9">
        <f>IF(E98="","",F98*H98+I98)</f>
        <v/>
      </c>
      <c r="K98" s="9">
        <f>IF(E98="","",G98*H98+I98)</f>
        <v/>
      </c>
      <c r="L98" s="10">
        <f>IFERROR((E98-J98)/E98,"")</f>
        <v/>
      </c>
      <c r="M98" s="10">
        <f>IFERROR((E98-K98)/E98,"")</f>
        <v/>
      </c>
      <c r="N98" s="8">
        <f>IF(E98="","",G98-F98)</f>
        <v/>
      </c>
      <c r="O98" s="8">
        <f>IF(E98="","",IF(M98&lt;0.45,"RED",IF(M98&lt;0.6,"AMBER","GREEN")))</f>
        <v/>
      </c>
      <c r="P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9" t="n"/>
      <c r="I99" s="9" t="n"/>
      <c r="J99" s="9">
        <f>IF(E99="","",F99*H99+I99)</f>
        <v/>
      </c>
      <c r="K99" s="9">
        <f>IF(E99="","",G99*H99+I99)</f>
        <v/>
      </c>
      <c r="L99" s="10">
        <f>IFERROR((E99-J99)/E99,"")</f>
        <v/>
      </c>
      <c r="M99" s="10">
        <f>IFERROR((E99-K99)/E99,"")</f>
        <v/>
      </c>
      <c r="N99" s="8">
        <f>IF(E99="","",G99-F99)</f>
        <v/>
      </c>
      <c r="O99" s="8">
        <f>IF(E99="","",IF(M99&lt;0.45,"RED",IF(M99&lt;0.6,"AMBER","GREEN")))</f>
        <v/>
      </c>
      <c r="P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9" t="n"/>
      <c r="I100" s="9" t="n"/>
      <c r="J100" s="9">
        <f>IF(E100="","",F100*H100+I100)</f>
        <v/>
      </c>
      <c r="K100" s="9">
        <f>IF(E100="","",G100*H100+I100)</f>
        <v/>
      </c>
      <c r="L100" s="10">
        <f>IFERROR((E100-J100)/E100,"")</f>
        <v/>
      </c>
      <c r="M100" s="10">
        <f>IFERROR((E100-K100)/E100,"")</f>
        <v/>
      </c>
      <c r="N100" s="8">
        <f>IF(E100="","",G100-F100)</f>
        <v/>
      </c>
      <c r="O100" s="8">
        <f>IF(E100="","",IF(M100&lt;0.45,"RED",IF(M100&lt;0.6,"AMBER","GREEN")))</f>
        <v/>
      </c>
      <c r="P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9" t="n"/>
      <c r="I101" s="9" t="n"/>
      <c r="J101" s="9">
        <f>IF(E101="","",F101*H101+I101)</f>
        <v/>
      </c>
      <c r="K101" s="9">
        <f>IF(E101="","",G101*H101+I101)</f>
        <v/>
      </c>
      <c r="L101" s="10">
        <f>IFERROR((E101-J101)/E101,"")</f>
        <v/>
      </c>
      <c r="M101" s="10">
        <f>IFERROR((E101-K101)/E101,"")</f>
        <v/>
      </c>
      <c r="N101" s="8">
        <f>IF(E101="","",G101-F101)</f>
        <v/>
      </c>
      <c r="O101" s="8">
        <f>IF(E101="","",IF(M101&lt;0.45,"RED",IF(M101&lt;0.6,"AMBER","GREEN")))</f>
        <v/>
      </c>
      <c r="P101" s="8" t="n"/>
    </row>
  </sheetData>
  <autoFilter ref="A1:P101"/>
  <conditionalFormatting sqref="O2:O101">
    <cfRule type="expression" priority="1" dxfId="0">
      <formula>O2="RED"</formula>
    </cfRule>
    <cfRule type="expression" priority="2" dxfId="1">
      <formula>O2="AMBER"</formula>
    </cfRule>
    <cfRule type="expression" priority="3" dxfId="2">
      <formula>O2="GREEN"</formula>
    </cfRule>
  </conditionalFormatting>
  <dataValidations count="1">
    <dataValidation sqref="D2:D101" showDropDown="0" showInputMessage="0" showErrorMessage="0" allowBlank="1" type="list">
      <formula1>"Pipeline,Active,Review,Handover,Closed,Paused"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22" customWidth="1" min="7" max="7"/>
    <col width="16" customWidth="1" min="8" max="8"/>
  </cols>
  <sheetData>
    <row r="1">
      <c r="A1" s="7" t="inlineStr">
        <is>
          <t>Team member</t>
        </is>
      </c>
      <c r="B1" s="7" t="inlineStr">
        <is>
          <t>Role</t>
        </is>
      </c>
      <c r="C1" s="7" t="inlineStr">
        <is>
          <t>Weekly capacity hours</t>
        </is>
      </c>
      <c r="D1" s="7" t="inlineStr">
        <is>
          <t>Utilization target %</t>
        </is>
      </c>
      <c r="E1" s="7" t="inlineStr">
        <is>
          <t>Committed hours</t>
        </is>
      </c>
      <c r="F1" s="7" t="inlineStr">
        <is>
          <t>Reserved ops hours</t>
        </is>
      </c>
      <c r="G1" s="7" t="inlineStr">
        <is>
          <t>Available delivery hours</t>
        </is>
      </c>
      <c r="H1" s="7" t="inlineStr">
        <is>
          <t>Overallocated?</t>
        </is>
      </c>
    </row>
    <row r="2">
      <c r="A2" s="11" t="n"/>
      <c r="B2" s="11" t="n"/>
      <c r="C2" s="11" t="n"/>
      <c r="D2" s="12" t="n"/>
      <c r="E2" s="11" t="n"/>
      <c r="F2" s="11" t="n"/>
      <c r="G2" s="11">
        <f>IF(A2="","",C2*D2-E2-F2)</f>
        <v/>
      </c>
      <c r="H2" s="11">
        <f>IF(A2="","",IF(G2&lt;0,"YES","NO"))</f>
        <v/>
      </c>
    </row>
    <row r="3">
      <c r="A3" s="11" t="n"/>
      <c r="B3" s="11" t="n"/>
      <c r="C3" s="11" t="n"/>
      <c r="D3" s="12" t="n"/>
      <c r="E3" s="11" t="n"/>
      <c r="F3" s="11" t="n"/>
      <c r="G3" s="11">
        <f>IF(A3="","",C3*D3-E3-F3)</f>
        <v/>
      </c>
      <c r="H3" s="11">
        <f>IF(A3="","",IF(G3&lt;0,"YES","NO"))</f>
        <v/>
      </c>
    </row>
    <row r="4">
      <c r="A4" s="11" t="n"/>
      <c r="B4" s="11" t="n"/>
      <c r="C4" s="11" t="n"/>
      <c r="D4" s="12" t="n"/>
      <c r="E4" s="11" t="n"/>
      <c r="F4" s="11" t="n"/>
      <c r="G4" s="11">
        <f>IF(A4="","",C4*D4-E4-F4)</f>
        <v/>
      </c>
      <c r="H4" s="11">
        <f>IF(A4="","",IF(G4&lt;0,"YES","NO"))</f>
        <v/>
      </c>
    </row>
    <row r="5">
      <c r="A5" s="11" t="n"/>
      <c r="B5" s="11" t="n"/>
      <c r="C5" s="11" t="n"/>
      <c r="D5" s="12" t="n"/>
      <c r="E5" s="11" t="n"/>
      <c r="F5" s="11" t="n"/>
      <c r="G5" s="11">
        <f>IF(A5="","",C5*D5-E5-F5)</f>
        <v/>
      </c>
      <c r="H5" s="11">
        <f>IF(A5="","",IF(G5&lt;0,"YES","NO"))</f>
        <v/>
      </c>
    </row>
    <row r="6">
      <c r="A6" s="11" t="n"/>
      <c r="B6" s="11" t="n"/>
      <c r="C6" s="11" t="n"/>
      <c r="D6" s="12" t="n"/>
      <c r="E6" s="11" t="n"/>
      <c r="F6" s="11" t="n"/>
      <c r="G6" s="11">
        <f>IF(A6="","",C6*D6-E6-F6)</f>
        <v/>
      </c>
      <c r="H6" s="11">
        <f>IF(A6="","",IF(G6&lt;0,"YES","NO"))</f>
        <v/>
      </c>
    </row>
    <row r="7">
      <c r="A7" s="11" t="n"/>
      <c r="B7" s="11" t="n"/>
      <c r="C7" s="11" t="n"/>
      <c r="D7" s="12" t="n"/>
      <c r="E7" s="11" t="n"/>
      <c r="F7" s="11" t="n"/>
      <c r="G7" s="11">
        <f>IF(A7="","",C7*D7-E7-F7)</f>
        <v/>
      </c>
      <c r="H7" s="11">
        <f>IF(A7="","",IF(G7&lt;0,"YES","NO"))</f>
        <v/>
      </c>
    </row>
    <row r="8">
      <c r="A8" s="11" t="n"/>
      <c r="B8" s="11" t="n"/>
      <c r="C8" s="11" t="n"/>
      <c r="D8" s="12" t="n"/>
      <c r="E8" s="11" t="n"/>
      <c r="F8" s="11" t="n"/>
      <c r="G8" s="11">
        <f>IF(A8="","",C8*D8-E8-F8)</f>
        <v/>
      </c>
      <c r="H8" s="11">
        <f>IF(A8="","",IF(G8&lt;0,"YES","NO"))</f>
        <v/>
      </c>
    </row>
    <row r="9">
      <c r="A9" s="11" t="n"/>
      <c r="B9" s="11" t="n"/>
      <c r="C9" s="11" t="n"/>
      <c r="D9" s="12" t="n"/>
      <c r="E9" s="11" t="n"/>
      <c r="F9" s="11" t="n"/>
      <c r="G9" s="11">
        <f>IF(A9="","",C9*D9-E9-F9)</f>
        <v/>
      </c>
      <c r="H9" s="11">
        <f>IF(A9="","",IF(G9&lt;0,"YES","NO"))</f>
        <v/>
      </c>
    </row>
    <row r="10">
      <c r="A10" s="11" t="n"/>
      <c r="B10" s="11" t="n"/>
      <c r="C10" s="11" t="n"/>
      <c r="D10" s="12" t="n"/>
      <c r="E10" s="11" t="n"/>
      <c r="F10" s="11" t="n"/>
      <c r="G10" s="11">
        <f>IF(A10="","",C10*D10-E10-F10)</f>
        <v/>
      </c>
      <c r="H10" s="11">
        <f>IF(A10="","",IF(G10&lt;0,"YES","NO"))</f>
        <v/>
      </c>
    </row>
    <row r="11">
      <c r="A11" s="11" t="n"/>
      <c r="B11" s="11" t="n"/>
      <c r="C11" s="11" t="n"/>
      <c r="D11" s="12" t="n"/>
      <c r="E11" s="11" t="n"/>
      <c r="F11" s="11" t="n"/>
      <c r="G11" s="11">
        <f>IF(A11="","",C11*D11-E11-F11)</f>
        <v/>
      </c>
      <c r="H11" s="11">
        <f>IF(A11="","",IF(G11&lt;0,"YES","NO"))</f>
        <v/>
      </c>
    </row>
    <row r="12">
      <c r="A12" s="11" t="n"/>
      <c r="B12" s="11" t="n"/>
      <c r="C12" s="11" t="n"/>
      <c r="D12" s="12" t="n"/>
      <c r="E12" s="11" t="n"/>
      <c r="F12" s="11" t="n"/>
      <c r="G12" s="11">
        <f>IF(A12="","",C12*D12-E12-F12)</f>
        <v/>
      </c>
      <c r="H12" s="11">
        <f>IF(A12="","",IF(G12&lt;0,"YES","NO"))</f>
        <v/>
      </c>
    </row>
    <row r="13">
      <c r="A13" s="11" t="n"/>
      <c r="B13" s="11" t="n"/>
      <c r="C13" s="11" t="n"/>
      <c r="D13" s="12" t="n"/>
      <c r="E13" s="11" t="n"/>
      <c r="F13" s="11" t="n"/>
      <c r="G13" s="11">
        <f>IF(A13="","",C13*D13-E13-F13)</f>
        <v/>
      </c>
      <c r="H13" s="11">
        <f>IF(A13="","",IF(G13&lt;0,"YES","NO"))</f>
        <v/>
      </c>
    </row>
    <row r="14">
      <c r="A14" s="11" t="n"/>
      <c r="B14" s="11" t="n"/>
      <c r="C14" s="11" t="n"/>
      <c r="D14" s="12" t="n"/>
      <c r="E14" s="11" t="n"/>
      <c r="F14" s="11" t="n"/>
      <c r="G14" s="11">
        <f>IF(A14="","",C14*D14-E14-F14)</f>
        <v/>
      </c>
      <c r="H14" s="11">
        <f>IF(A14="","",IF(G14&lt;0,"YES","NO"))</f>
        <v/>
      </c>
    </row>
    <row r="15">
      <c r="A15" s="11" t="n"/>
      <c r="B15" s="11" t="n"/>
      <c r="C15" s="11" t="n"/>
      <c r="D15" s="12" t="n"/>
      <c r="E15" s="11" t="n"/>
      <c r="F15" s="11" t="n"/>
      <c r="G15" s="11">
        <f>IF(A15="","",C15*D15-E15-F15)</f>
        <v/>
      </c>
      <c r="H15" s="11">
        <f>IF(A15="","",IF(G15&lt;0,"YES","NO"))</f>
        <v/>
      </c>
    </row>
    <row r="16">
      <c r="A16" s="11" t="n"/>
      <c r="B16" s="11" t="n"/>
      <c r="C16" s="11" t="n"/>
      <c r="D16" s="12" t="n"/>
      <c r="E16" s="11" t="n"/>
      <c r="F16" s="11" t="n"/>
      <c r="G16" s="11">
        <f>IF(A16="","",C16*D16-E16-F16)</f>
        <v/>
      </c>
      <c r="H16" s="11">
        <f>IF(A16="","",IF(G16&lt;0,"YES","NO"))</f>
        <v/>
      </c>
    </row>
    <row r="17">
      <c r="A17" s="11" t="n"/>
      <c r="B17" s="11" t="n"/>
      <c r="C17" s="11" t="n"/>
      <c r="D17" s="12" t="n"/>
      <c r="E17" s="11" t="n"/>
      <c r="F17" s="11" t="n"/>
      <c r="G17" s="11">
        <f>IF(A17="","",C17*D17-E17-F17)</f>
        <v/>
      </c>
      <c r="H17" s="11">
        <f>IF(A17="","",IF(G17&lt;0,"YES","NO"))</f>
        <v/>
      </c>
    </row>
    <row r="18">
      <c r="A18" s="11" t="n"/>
      <c r="B18" s="11" t="n"/>
      <c r="C18" s="11" t="n"/>
      <c r="D18" s="12" t="n"/>
      <c r="E18" s="11" t="n"/>
      <c r="F18" s="11" t="n"/>
      <c r="G18" s="11">
        <f>IF(A18="","",C18*D18-E18-F18)</f>
        <v/>
      </c>
      <c r="H18" s="11">
        <f>IF(A18="","",IF(G18&lt;0,"YES","NO"))</f>
        <v/>
      </c>
    </row>
    <row r="19">
      <c r="A19" s="11" t="n"/>
      <c r="B19" s="11" t="n"/>
      <c r="C19" s="11" t="n"/>
      <c r="D19" s="12" t="n"/>
      <c r="E19" s="11" t="n"/>
      <c r="F19" s="11" t="n"/>
      <c r="G19" s="11">
        <f>IF(A19="","",C19*D19-E19-F19)</f>
        <v/>
      </c>
      <c r="H19" s="11">
        <f>IF(A19="","",IF(G19&lt;0,"YES","NO"))</f>
        <v/>
      </c>
    </row>
    <row r="20">
      <c r="A20" s="11" t="n"/>
      <c r="B20" s="11" t="n"/>
      <c r="C20" s="11" t="n"/>
      <c r="D20" s="12" t="n"/>
      <c r="E20" s="11" t="n"/>
      <c r="F20" s="11" t="n"/>
      <c r="G20" s="11">
        <f>IF(A20="","",C20*D20-E20-F20)</f>
        <v/>
      </c>
      <c r="H20" s="11">
        <f>IF(A20="","",IF(G20&lt;0,"YES","NO"))</f>
        <v/>
      </c>
    </row>
    <row r="21">
      <c r="A21" s="11" t="n"/>
      <c r="B21" s="11" t="n"/>
      <c r="C21" s="11" t="n"/>
      <c r="D21" s="12" t="n"/>
      <c r="E21" s="11" t="n"/>
      <c r="F21" s="11" t="n"/>
      <c r="G21" s="11">
        <f>IF(A21="","",C21*D21-E21-F21)</f>
        <v/>
      </c>
      <c r="H21" s="11">
        <f>IF(A21="","",IF(G21&lt;0,"YES","NO"))</f>
        <v/>
      </c>
    </row>
  </sheetData>
  <conditionalFormatting sqref="H2:H21">
    <cfRule type="expression" priority="1" dxfId="0">
      <formula>H2="YES"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</cols>
  <sheetData>
    <row r="1">
      <c r="A1" s="7" t="inlineStr">
        <is>
          <t>Change ID</t>
        </is>
      </c>
      <c r="B1" s="7" t="inlineStr">
        <is>
          <t>Project ID</t>
        </is>
      </c>
      <c r="C1" s="7" t="inlineStr">
        <is>
          <t>Requested item</t>
        </is>
      </c>
      <c r="D1" s="7" t="inlineStr">
        <is>
          <t>Extra hours</t>
        </is>
      </c>
      <c r="E1" s="7" t="inlineStr">
        <is>
          <t>Hourly sell rate</t>
        </is>
      </c>
      <c r="F1" s="7" t="inlineStr">
        <is>
          <t>Added price</t>
        </is>
      </c>
      <c r="G1" s="7" t="inlineStr">
        <is>
          <t>Internal cost</t>
        </is>
      </c>
      <c r="H1" s="7" t="inlineStr">
        <is>
          <t>Net contribution</t>
        </is>
      </c>
      <c r="I1" s="7" t="inlineStr">
        <is>
          <t>Approval status</t>
        </is>
      </c>
      <c r="J1" s="7" t="inlineStr">
        <is>
          <t>Decision date</t>
        </is>
      </c>
    </row>
    <row r="2">
      <c r="A2" s="11" t="n"/>
      <c r="B2" s="11" t="n"/>
      <c r="C2" s="11" t="n"/>
      <c r="D2" s="11" t="n"/>
      <c r="E2" s="11" t="n"/>
      <c r="F2" s="11">
        <f>IF(D2="","",D2*E2)</f>
        <v/>
      </c>
      <c r="G2" s="11">
        <f>IF(D2="","",D2*0)</f>
        <v/>
      </c>
      <c r="H2" s="11">
        <f>IF(F2="","",F2-G2)</f>
        <v/>
      </c>
      <c r="I2" s="11" t="n"/>
      <c r="J2" s="11" t="n"/>
    </row>
    <row r="3">
      <c r="A3" s="11" t="n"/>
      <c r="B3" s="11" t="n"/>
      <c r="C3" s="11" t="n"/>
      <c r="D3" s="11" t="n"/>
      <c r="E3" s="11" t="n"/>
      <c r="F3" s="11">
        <f>IF(D3="","",D3*E3)</f>
        <v/>
      </c>
      <c r="G3" s="11">
        <f>IF(D3="","",D3*0)</f>
        <v/>
      </c>
      <c r="H3" s="11">
        <f>IF(F3="","",F3-G3)</f>
        <v/>
      </c>
      <c r="I3" s="11" t="n"/>
      <c r="J3" s="11" t="n"/>
    </row>
    <row r="4">
      <c r="A4" s="11" t="n"/>
      <c r="B4" s="11" t="n"/>
      <c r="C4" s="11" t="n"/>
      <c r="D4" s="11" t="n"/>
      <c r="E4" s="11" t="n"/>
      <c r="F4" s="11">
        <f>IF(D4="","",D4*E4)</f>
        <v/>
      </c>
      <c r="G4" s="11">
        <f>IF(D4="","",D4*0)</f>
        <v/>
      </c>
      <c r="H4" s="11">
        <f>IF(F4="","",F4-G4)</f>
        <v/>
      </c>
      <c r="I4" s="11" t="n"/>
      <c r="J4" s="11" t="n"/>
    </row>
    <row r="5">
      <c r="A5" s="11" t="n"/>
      <c r="B5" s="11" t="n"/>
      <c r="C5" s="11" t="n"/>
      <c r="D5" s="11" t="n"/>
      <c r="E5" s="11" t="n"/>
      <c r="F5" s="11">
        <f>IF(D5="","",D5*E5)</f>
        <v/>
      </c>
      <c r="G5" s="11">
        <f>IF(D5="","",D5*0)</f>
        <v/>
      </c>
      <c r="H5" s="11">
        <f>IF(F5="","",F5-G5)</f>
        <v/>
      </c>
      <c r="I5" s="11" t="n"/>
      <c r="J5" s="11" t="n"/>
    </row>
    <row r="6">
      <c r="A6" s="11" t="n"/>
      <c r="B6" s="11" t="n"/>
      <c r="C6" s="11" t="n"/>
      <c r="D6" s="11" t="n"/>
      <c r="E6" s="11" t="n"/>
      <c r="F6" s="11">
        <f>IF(D6="","",D6*E6)</f>
        <v/>
      </c>
      <c r="G6" s="11">
        <f>IF(D6="","",D6*0)</f>
        <v/>
      </c>
      <c r="H6" s="11">
        <f>IF(F6="","",F6-G6)</f>
        <v/>
      </c>
      <c r="I6" s="11" t="n"/>
      <c r="J6" s="11" t="n"/>
    </row>
    <row r="7">
      <c r="A7" s="11" t="n"/>
      <c r="B7" s="11" t="n"/>
      <c r="C7" s="11" t="n"/>
      <c r="D7" s="11" t="n"/>
      <c r="E7" s="11" t="n"/>
      <c r="F7" s="11">
        <f>IF(D7="","",D7*E7)</f>
        <v/>
      </c>
      <c r="G7" s="11">
        <f>IF(D7="","",D7*0)</f>
        <v/>
      </c>
      <c r="H7" s="11">
        <f>IF(F7="","",F7-G7)</f>
        <v/>
      </c>
      <c r="I7" s="11" t="n"/>
      <c r="J7" s="11" t="n"/>
    </row>
    <row r="8">
      <c r="A8" s="11" t="n"/>
      <c r="B8" s="11" t="n"/>
      <c r="C8" s="11" t="n"/>
      <c r="D8" s="11" t="n"/>
      <c r="E8" s="11" t="n"/>
      <c r="F8" s="11">
        <f>IF(D8="","",D8*E8)</f>
        <v/>
      </c>
      <c r="G8" s="11">
        <f>IF(D8="","",D8*0)</f>
        <v/>
      </c>
      <c r="H8" s="11">
        <f>IF(F8="","",F8-G8)</f>
        <v/>
      </c>
      <c r="I8" s="11" t="n"/>
      <c r="J8" s="11" t="n"/>
    </row>
    <row r="9">
      <c r="A9" s="11" t="n"/>
      <c r="B9" s="11" t="n"/>
      <c r="C9" s="11" t="n"/>
      <c r="D9" s="11" t="n"/>
      <c r="E9" s="11" t="n"/>
      <c r="F9" s="11">
        <f>IF(D9="","",D9*E9)</f>
        <v/>
      </c>
      <c r="G9" s="11">
        <f>IF(D9="","",D9*0)</f>
        <v/>
      </c>
      <c r="H9" s="11">
        <f>IF(F9="","",F9-G9)</f>
        <v/>
      </c>
      <c r="I9" s="11" t="n"/>
      <c r="J9" s="11" t="n"/>
    </row>
    <row r="10">
      <c r="A10" s="11" t="n"/>
      <c r="B10" s="11" t="n"/>
      <c r="C10" s="11" t="n"/>
      <c r="D10" s="11" t="n"/>
      <c r="E10" s="11" t="n"/>
      <c r="F10" s="11">
        <f>IF(D10="","",D10*E10)</f>
        <v/>
      </c>
      <c r="G10" s="11">
        <f>IF(D10="","",D10*0)</f>
        <v/>
      </c>
      <c r="H10" s="11">
        <f>IF(F10="","",F10-G10)</f>
        <v/>
      </c>
      <c r="I10" s="11" t="n"/>
      <c r="J10" s="11" t="n"/>
    </row>
    <row r="11">
      <c r="A11" s="11" t="n"/>
      <c r="B11" s="11" t="n"/>
      <c r="C11" s="11" t="n"/>
      <c r="D11" s="11" t="n"/>
      <c r="E11" s="11" t="n"/>
      <c r="F11" s="11">
        <f>IF(D11="","",D11*E11)</f>
        <v/>
      </c>
      <c r="G11" s="11">
        <f>IF(D11="","",D11*0)</f>
        <v/>
      </c>
      <c r="H11" s="11">
        <f>IF(F11="","",F11-G11)</f>
        <v/>
      </c>
      <c r="I11" s="11" t="n"/>
      <c r="J11" s="11" t="n"/>
    </row>
    <row r="12">
      <c r="A12" s="11" t="n"/>
      <c r="B12" s="11" t="n"/>
      <c r="C12" s="11" t="n"/>
      <c r="D12" s="11" t="n"/>
      <c r="E12" s="11" t="n"/>
      <c r="F12" s="11">
        <f>IF(D12="","",D12*E12)</f>
        <v/>
      </c>
      <c r="G12" s="11">
        <f>IF(D12="","",D12*0)</f>
        <v/>
      </c>
      <c r="H12" s="11">
        <f>IF(F12="","",F12-G12)</f>
        <v/>
      </c>
      <c r="I12" s="11" t="n"/>
      <c r="J12" s="11" t="n"/>
    </row>
    <row r="13">
      <c r="A13" s="11" t="n"/>
      <c r="B13" s="11" t="n"/>
      <c r="C13" s="11" t="n"/>
      <c r="D13" s="11" t="n"/>
      <c r="E13" s="11" t="n"/>
      <c r="F13" s="11">
        <f>IF(D13="","",D13*E13)</f>
        <v/>
      </c>
      <c r="G13" s="11">
        <f>IF(D13="","",D13*0)</f>
        <v/>
      </c>
      <c r="H13" s="11">
        <f>IF(F13="","",F13-G13)</f>
        <v/>
      </c>
      <c r="I13" s="11" t="n"/>
      <c r="J13" s="11" t="n"/>
    </row>
    <row r="14">
      <c r="A14" s="11" t="n"/>
      <c r="B14" s="11" t="n"/>
      <c r="C14" s="11" t="n"/>
      <c r="D14" s="11" t="n"/>
      <c r="E14" s="11" t="n"/>
      <c r="F14" s="11">
        <f>IF(D14="","",D14*E14)</f>
        <v/>
      </c>
      <c r="G14" s="11">
        <f>IF(D14="","",D14*0)</f>
        <v/>
      </c>
      <c r="H14" s="11">
        <f>IF(F14="","",F14-G14)</f>
        <v/>
      </c>
      <c r="I14" s="11" t="n"/>
      <c r="J14" s="11" t="n"/>
    </row>
    <row r="15">
      <c r="A15" s="11" t="n"/>
      <c r="B15" s="11" t="n"/>
      <c r="C15" s="11" t="n"/>
      <c r="D15" s="11" t="n"/>
      <c r="E15" s="11" t="n"/>
      <c r="F15" s="11">
        <f>IF(D15="","",D15*E15)</f>
        <v/>
      </c>
      <c r="G15" s="11">
        <f>IF(D15="","",D15*0)</f>
        <v/>
      </c>
      <c r="H15" s="11">
        <f>IF(F15="","",F15-G15)</f>
        <v/>
      </c>
      <c r="I15" s="11" t="n"/>
      <c r="J15" s="11" t="n"/>
    </row>
    <row r="16">
      <c r="A16" s="11" t="n"/>
      <c r="B16" s="11" t="n"/>
      <c r="C16" s="11" t="n"/>
      <c r="D16" s="11" t="n"/>
      <c r="E16" s="11" t="n"/>
      <c r="F16" s="11">
        <f>IF(D16="","",D16*E16)</f>
        <v/>
      </c>
      <c r="G16" s="11">
        <f>IF(D16="","",D16*0)</f>
        <v/>
      </c>
      <c r="H16" s="11">
        <f>IF(F16="","",F16-G16)</f>
        <v/>
      </c>
      <c r="I16" s="11" t="n"/>
      <c r="J16" s="11" t="n"/>
    </row>
    <row r="17">
      <c r="A17" s="11" t="n"/>
      <c r="B17" s="11" t="n"/>
      <c r="C17" s="11" t="n"/>
      <c r="D17" s="11" t="n"/>
      <c r="E17" s="11" t="n"/>
      <c r="F17" s="11">
        <f>IF(D17="","",D17*E17)</f>
        <v/>
      </c>
      <c r="G17" s="11">
        <f>IF(D17="","",D17*0)</f>
        <v/>
      </c>
      <c r="H17" s="11">
        <f>IF(F17="","",F17-G17)</f>
        <v/>
      </c>
      <c r="I17" s="11" t="n"/>
      <c r="J17" s="11" t="n"/>
    </row>
    <row r="18">
      <c r="A18" s="11" t="n"/>
      <c r="B18" s="11" t="n"/>
      <c r="C18" s="11" t="n"/>
      <c r="D18" s="11" t="n"/>
      <c r="E18" s="11" t="n"/>
      <c r="F18" s="11">
        <f>IF(D18="","",D18*E18)</f>
        <v/>
      </c>
      <c r="G18" s="11">
        <f>IF(D18="","",D18*0)</f>
        <v/>
      </c>
      <c r="H18" s="11">
        <f>IF(F18="","",F18-G18)</f>
        <v/>
      </c>
      <c r="I18" s="11" t="n"/>
      <c r="J18" s="11" t="n"/>
    </row>
    <row r="19">
      <c r="A19" s="11" t="n"/>
      <c r="B19" s="11" t="n"/>
      <c r="C19" s="11" t="n"/>
      <c r="D19" s="11" t="n"/>
      <c r="E19" s="11" t="n"/>
      <c r="F19" s="11">
        <f>IF(D19="","",D19*E19)</f>
        <v/>
      </c>
      <c r="G19" s="11">
        <f>IF(D19="","",D19*0)</f>
        <v/>
      </c>
      <c r="H19" s="11">
        <f>IF(F19="","",F19-G19)</f>
        <v/>
      </c>
      <c r="I19" s="11" t="n"/>
      <c r="J19" s="11" t="n"/>
    </row>
    <row r="20">
      <c r="A20" s="11" t="n"/>
      <c r="B20" s="11" t="n"/>
      <c r="C20" s="11" t="n"/>
      <c r="D20" s="11" t="n"/>
      <c r="E20" s="11" t="n"/>
      <c r="F20" s="11">
        <f>IF(D20="","",D20*E20)</f>
        <v/>
      </c>
      <c r="G20" s="11">
        <f>IF(D20="","",D20*0)</f>
        <v/>
      </c>
      <c r="H20" s="11">
        <f>IF(F20="","",F20-G20)</f>
        <v/>
      </c>
      <c r="I20" s="11" t="n"/>
      <c r="J20" s="11" t="n"/>
    </row>
    <row r="21">
      <c r="A21" s="11" t="n"/>
      <c r="B21" s="11" t="n"/>
      <c r="C21" s="11" t="n"/>
      <c r="D21" s="11" t="n"/>
      <c r="E21" s="11" t="n"/>
      <c r="F21" s="11">
        <f>IF(D21="","",D21*E21)</f>
        <v/>
      </c>
      <c r="G21" s="11">
        <f>IF(D21="","",D21*0)</f>
        <v/>
      </c>
      <c r="H21" s="11">
        <f>IF(F21="","",F21-G21)</f>
        <v/>
      </c>
      <c r="I21" s="11" t="n"/>
      <c r="J21" s="11" t="n"/>
    </row>
    <row r="22">
      <c r="A22" s="11" t="n"/>
      <c r="B22" s="11" t="n"/>
      <c r="C22" s="11" t="n"/>
      <c r="D22" s="11" t="n"/>
      <c r="E22" s="11" t="n"/>
      <c r="F22" s="11">
        <f>IF(D22="","",D22*E22)</f>
        <v/>
      </c>
      <c r="G22" s="11">
        <f>IF(D22="","",D22*0)</f>
        <v/>
      </c>
      <c r="H22" s="11">
        <f>IF(F22="","",F22-G22)</f>
        <v/>
      </c>
      <c r="I22" s="11" t="n"/>
      <c r="J22" s="11" t="n"/>
    </row>
    <row r="23">
      <c r="A23" s="11" t="n"/>
      <c r="B23" s="11" t="n"/>
      <c r="C23" s="11" t="n"/>
      <c r="D23" s="11" t="n"/>
      <c r="E23" s="11" t="n"/>
      <c r="F23" s="11">
        <f>IF(D23="","",D23*E23)</f>
        <v/>
      </c>
      <c r="G23" s="11">
        <f>IF(D23="","",D23*0)</f>
        <v/>
      </c>
      <c r="H23" s="11">
        <f>IF(F23="","",F23-G23)</f>
        <v/>
      </c>
      <c r="I23" s="11" t="n"/>
      <c r="J23" s="11" t="n"/>
    </row>
    <row r="24">
      <c r="A24" s="11" t="n"/>
      <c r="B24" s="11" t="n"/>
      <c r="C24" s="11" t="n"/>
      <c r="D24" s="11" t="n"/>
      <c r="E24" s="11" t="n"/>
      <c r="F24" s="11">
        <f>IF(D24="","",D24*E24)</f>
        <v/>
      </c>
      <c r="G24" s="11">
        <f>IF(D24="","",D24*0)</f>
        <v/>
      </c>
      <c r="H24" s="11">
        <f>IF(F24="","",F24-G24)</f>
        <v/>
      </c>
      <c r="I24" s="11" t="n"/>
      <c r="J24" s="11" t="n"/>
    </row>
    <row r="25">
      <c r="A25" s="11" t="n"/>
      <c r="B25" s="11" t="n"/>
      <c r="C25" s="11" t="n"/>
      <c r="D25" s="11" t="n"/>
      <c r="E25" s="11" t="n"/>
      <c r="F25" s="11">
        <f>IF(D25="","",D25*E25)</f>
        <v/>
      </c>
      <c r="G25" s="11">
        <f>IF(D25="","",D25*0)</f>
        <v/>
      </c>
      <c r="H25" s="11">
        <f>IF(F25="","",F25-G25)</f>
        <v/>
      </c>
      <c r="I25" s="11" t="n"/>
      <c r="J25" s="11" t="n"/>
    </row>
    <row r="26">
      <c r="A26" s="11" t="n"/>
      <c r="B26" s="11" t="n"/>
      <c r="C26" s="11" t="n"/>
      <c r="D26" s="11" t="n"/>
      <c r="E26" s="11" t="n"/>
      <c r="F26" s="11">
        <f>IF(D26="","",D26*E26)</f>
        <v/>
      </c>
      <c r="G26" s="11">
        <f>IF(D26="","",D26*0)</f>
        <v/>
      </c>
      <c r="H26" s="11">
        <f>IF(F26="","",F26-G26)</f>
        <v/>
      </c>
      <c r="I26" s="11" t="n"/>
      <c r="J26" s="11" t="n"/>
    </row>
    <row r="27">
      <c r="A27" s="11" t="n"/>
      <c r="B27" s="11" t="n"/>
      <c r="C27" s="11" t="n"/>
      <c r="D27" s="11" t="n"/>
      <c r="E27" s="11" t="n"/>
      <c r="F27" s="11">
        <f>IF(D27="","",D27*E27)</f>
        <v/>
      </c>
      <c r="G27" s="11">
        <f>IF(D27="","",D27*0)</f>
        <v/>
      </c>
      <c r="H27" s="11">
        <f>IF(F27="","",F27-G27)</f>
        <v/>
      </c>
      <c r="I27" s="11" t="n"/>
      <c r="J27" s="11" t="n"/>
    </row>
    <row r="28">
      <c r="A28" s="11" t="n"/>
      <c r="B28" s="11" t="n"/>
      <c r="C28" s="11" t="n"/>
      <c r="D28" s="11" t="n"/>
      <c r="E28" s="11" t="n"/>
      <c r="F28" s="11">
        <f>IF(D28="","",D28*E28)</f>
        <v/>
      </c>
      <c r="G28" s="11">
        <f>IF(D28="","",D28*0)</f>
        <v/>
      </c>
      <c r="H28" s="11">
        <f>IF(F28="","",F28-G28)</f>
        <v/>
      </c>
      <c r="I28" s="11" t="n"/>
      <c r="J28" s="11" t="n"/>
    </row>
    <row r="29">
      <c r="A29" s="11" t="n"/>
      <c r="B29" s="11" t="n"/>
      <c r="C29" s="11" t="n"/>
      <c r="D29" s="11" t="n"/>
      <c r="E29" s="11" t="n"/>
      <c r="F29" s="11">
        <f>IF(D29="","",D29*E29)</f>
        <v/>
      </c>
      <c r="G29" s="11">
        <f>IF(D29="","",D29*0)</f>
        <v/>
      </c>
      <c r="H29" s="11">
        <f>IF(F29="","",F29-G29)</f>
        <v/>
      </c>
      <c r="I29" s="11" t="n"/>
      <c r="J29" s="11" t="n"/>
    </row>
    <row r="30">
      <c r="A30" s="11" t="n"/>
      <c r="B30" s="11" t="n"/>
      <c r="C30" s="11" t="n"/>
      <c r="D30" s="11" t="n"/>
      <c r="E30" s="11" t="n"/>
      <c r="F30" s="11">
        <f>IF(D30="","",D30*E30)</f>
        <v/>
      </c>
      <c r="G30" s="11">
        <f>IF(D30="","",D30*0)</f>
        <v/>
      </c>
      <c r="H30" s="11">
        <f>IF(F30="","",F30-G30)</f>
        <v/>
      </c>
      <c r="I30" s="11" t="n"/>
      <c r="J30" s="11" t="n"/>
    </row>
    <row r="31">
      <c r="A31" s="11" t="n"/>
      <c r="B31" s="11" t="n"/>
      <c r="C31" s="11" t="n"/>
      <c r="D31" s="11" t="n"/>
      <c r="E31" s="11" t="n"/>
      <c r="F31" s="11">
        <f>IF(D31="","",D31*E31)</f>
        <v/>
      </c>
      <c r="G31" s="11">
        <f>IF(D31="","",D31*0)</f>
        <v/>
      </c>
      <c r="H31" s="11">
        <f>IF(F31="","",F31-G31)</f>
        <v/>
      </c>
      <c r="I31" s="11" t="n"/>
      <c r="J31" s="11" t="n"/>
    </row>
    <row r="32">
      <c r="A32" s="11" t="n"/>
      <c r="B32" s="11" t="n"/>
      <c r="C32" s="11" t="n"/>
      <c r="D32" s="11" t="n"/>
      <c r="E32" s="11" t="n"/>
      <c r="F32" s="11">
        <f>IF(D32="","",D32*E32)</f>
        <v/>
      </c>
      <c r="G32" s="11">
        <f>IF(D32="","",D32*0)</f>
        <v/>
      </c>
      <c r="H32" s="11">
        <f>IF(F32="","",F32-G32)</f>
        <v/>
      </c>
      <c r="I32" s="11" t="n"/>
      <c r="J32" s="11" t="n"/>
    </row>
    <row r="33">
      <c r="A33" s="11" t="n"/>
      <c r="B33" s="11" t="n"/>
      <c r="C33" s="11" t="n"/>
      <c r="D33" s="11" t="n"/>
      <c r="E33" s="11" t="n"/>
      <c r="F33" s="11">
        <f>IF(D33="","",D33*E33)</f>
        <v/>
      </c>
      <c r="G33" s="11">
        <f>IF(D33="","",D33*0)</f>
        <v/>
      </c>
      <c r="H33" s="11">
        <f>IF(F33="","",F33-G33)</f>
        <v/>
      </c>
      <c r="I33" s="11" t="n"/>
      <c r="J33" s="11" t="n"/>
    </row>
    <row r="34">
      <c r="A34" s="11" t="n"/>
      <c r="B34" s="11" t="n"/>
      <c r="C34" s="11" t="n"/>
      <c r="D34" s="11" t="n"/>
      <c r="E34" s="11" t="n"/>
      <c r="F34" s="11">
        <f>IF(D34="","",D34*E34)</f>
        <v/>
      </c>
      <c r="G34" s="11">
        <f>IF(D34="","",D34*0)</f>
        <v/>
      </c>
      <c r="H34" s="11">
        <f>IF(F34="","",F34-G34)</f>
        <v/>
      </c>
      <c r="I34" s="11" t="n"/>
      <c r="J34" s="11" t="n"/>
    </row>
    <row r="35">
      <c r="A35" s="11" t="n"/>
      <c r="B35" s="11" t="n"/>
      <c r="C35" s="11" t="n"/>
      <c r="D35" s="11" t="n"/>
      <c r="E35" s="11" t="n"/>
      <c r="F35" s="11">
        <f>IF(D35="","",D35*E35)</f>
        <v/>
      </c>
      <c r="G35" s="11">
        <f>IF(D35="","",D35*0)</f>
        <v/>
      </c>
      <c r="H35" s="11">
        <f>IF(F35="","",F35-G35)</f>
        <v/>
      </c>
      <c r="I35" s="11" t="n"/>
      <c r="J35" s="11" t="n"/>
    </row>
    <row r="36">
      <c r="A36" s="11" t="n"/>
      <c r="B36" s="11" t="n"/>
      <c r="C36" s="11" t="n"/>
      <c r="D36" s="11" t="n"/>
      <c r="E36" s="11" t="n"/>
      <c r="F36" s="11">
        <f>IF(D36="","",D36*E36)</f>
        <v/>
      </c>
      <c r="G36" s="11">
        <f>IF(D36="","",D36*0)</f>
        <v/>
      </c>
      <c r="H36" s="11">
        <f>IF(F36="","",F36-G36)</f>
        <v/>
      </c>
      <c r="I36" s="11" t="n"/>
      <c r="J36" s="11" t="n"/>
    </row>
    <row r="37">
      <c r="A37" s="11" t="n"/>
      <c r="B37" s="11" t="n"/>
      <c r="C37" s="11" t="n"/>
      <c r="D37" s="11" t="n"/>
      <c r="E37" s="11" t="n"/>
      <c r="F37" s="11">
        <f>IF(D37="","",D37*E37)</f>
        <v/>
      </c>
      <c r="G37" s="11">
        <f>IF(D37="","",D37*0)</f>
        <v/>
      </c>
      <c r="H37" s="11">
        <f>IF(F37="","",F37-G37)</f>
        <v/>
      </c>
      <c r="I37" s="11" t="n"/>
      <c r="J37" s="11" t="n"/>
    </row>
    <row r="38">
      <c r="A38" s="11" t="n"/>
      <c r="B38" s="11" t="n"/>
      <c r="C38" s="11" t="n"/>
      <c r="D38" s="11" t="n"/>
      <c r="E38" s="11" t="n"/>
      <c r="F38" s="11">
        <f>IF(D38="","",D38*E38)</f>
        <v/>
      </c>
      <c r="G38" s="11">
        <f>IF(D38="","",D38*0)</f>
        <v/>
      </c>
      <c r="H38" s="11">
        <f>IF(F38="","",F38-G38)</f>
        <v/>
      </c>
      <c r="I38" s="11" t="n"/>
      <c r="J38" s="11" t="n"/>
    </row>
    <row r="39">
      <c r="A39" s="11" t="n"/>
      <c r="B39" s="11" t="n"/>
      <c r="C39" s="11" t="n"/>
      <c r="D39" s="11" t="n"/>
      <c r="E39" s="11" t="n"/>
      <c r="F39" s="11">
        <f>IF(D39="","",D39*E39)</f>
        <v/>
      </c>
      <c r="G39" s="11">
        <f>IF(D39="","",D39*0)</f>
        <v/>
      </c>
      <c r="H39" s="11">
        <f>IF(F39="","",F39-G39)</f>
        <v/>
      </c>
      <c r="I39" s="11" t="n"/>
      <c r="J39" s="11" t="n"/>
    </row>
    <row r="40">
      <c r="A40" s="11" t="n"/>
      <c r="B40" s="11" t="n"/>
      <c r="C40" s="11" t="n"/>
      <c r="D40" s="11" t="n"/>
      <c r="E40" s="11" t="n"/>
      <c r="F40" s="11">
        <f>IF(D40="","",D40*E40)</f>
        <v/>
      </c>
      <c r="G40" s="11">
        <f>IF(D40="","",D40*0)</f>
        <v/>
      </c>
      <c r="H40" s="11">
        <f>IF(F40="","",F40-G40)</f>
        <v/>
      </c>
      <c r="I40" s="11" t="n"/>
      <c r="J40" s="11" t="n"/>
    </row>
    <row r="41">
      <c r="A41" s="11" t="n"/>
      <c r="B41" s="11" t="n"/>
      <c r="C41" s="11" t="n"/>
      <c r="D41" s="11" t="n"/>
      <c r="E41" s="11" t="n"/>
      <c r="F41" s="11">
        <f>IF(D41="","",D41*E41)</f>
        <v/>
      </c>
      <c r="G41" s="11">
        <f>IF(D41="","",D41*0)</f>
        <v/>
      </c>
      <c r="H41" s="11">
        <f>IF(F41="","",F41-G41)</f>
        <v/>
      </c>
      <c r="I41" s="11" t="n"/>
      <c r="J41" s="11" t="n"/>
    </row>
    <row r="42">
      <c r="A42" s="11" t="n"/>
      <c r="B42" s="11" t="n"/>
      <c r="C42" s="11" t="n"/>
      <c r="D42" s="11" t="n"/>
      <c r="E42" s="11" t="n"/>
      <c r="F42" s="11">
        <f>IF(D42="","",D42*E42)</f>
        <v/>
      </c>
      <c r="G42" s="11">
        <f>IF(D42="","",D42*0)</f>
        <v/>
      </c>
      <c r="H42" s="11">
        <f>IF(F42="","",F42-G42)</f>
        <v/>
      </c>
      <c r="I42" s="11" t="n"/>
      <c r="J42" s="11" t="n"/>
    </row>
    <row r="43">
      <c r="A43" s="11" t="n"/>
      <c r="B43" s="11" t="n"/>
      <c r="C43" s="11" t="n"/>
      <c r="D43" s="11" t="n"/>
      <c r="E43" s="11" t="n"/>
      <c r="F43" s="11">
        <f>IF(D43="","",D43*E43)</f>
        <v/>
      </c>
      <c r="G43" s="11">
        <f>IF(D43="","",D43*0)</f>
        <v/>
      </c>
      <c r="H43" s="11">
        <f>IF(F43="","",F43-G43)</f>
        <v/>
      </c>
      <c r="I43" s="11" t="n"/>
      <c r="J43" s="11" t="n"/>
    </row>
    <row r="44">
      <c r="A44" s="11" t="n"/>
      <c r="B44" s="11" t="n"/>
      <c r="C44" s="11" t="n"/>
      <c r="D44" s="11" t="n"/>
      <c r="E44" s="11" t="n"/>
      <c r="F44" s="11">
        <f>IF(D44="","",D44*E44)</f>
        <v/>
      </c>
      <c r="G44" s="11">
        <f>IF(D44="","",D44*0)</f>
        <v/>
      </c>
      <c r="H44" s="11">
        <f>IF(F44="","",F44-G44)</f>
        <v/>
      </c>
      <c r="I44" s="11" t="n"/>
      <c r="J44" s="11" t="n"/>
    </row>
    <row r="45">
      <c r="A45" s="11" t="n"/>
      <c r="B45" s="11" t="n"/>
      <c r="C45" s="11" t="n"/>
      <c r="D45" s="11" t="n"/>
      <c r="E45" s="11" t="n"/>
      <c r="F45" s="11">
        <f>IF(D45="","",D45*E45)</f>
        <v/>
      </c>
      <c r="G45" s="11">
        <f>IF(D45="","",D45*0)</f>
        <v/>
      </c>
      <c r="H45" s="11">
        <f>IF(F45="","",F45-G45)</f>
        <v/>
      </c>
      <c r="I45" s="11" t="n"/>
      <c r="J45" s="11" t="n"/>
    </row>
    <row r="46">
      <c r="A46" s="11" t="n"/>
      <c r="B46" s="11" t="n"/>
      <c r="C46" s="11" t="n"/>
      <c r="D46" s="11" t="n"/>
      <c r="E46" s="11" t="n"/>
      <c r="F46" s="11">
        <f>IF(D46="","",D46*E46)</f>
        <v/>
      </c>
      <c r="G46" s="11">
        <f>IF(D46="","",D46*0)</f>
        <v/>
      </c>
      <c r="H46" s="11">
        <f>IF(F46="","",F46-G46)</f>
        <v/>
      </c>
      <c r="I46" s="11" t="n"/>
      <c r="J46" s="11" t="n"/>
    </row>
    <row r="47">
      <c r="A47" s="11" t="n"/>
      <c r="B47" s="11" t="n"/>
      <c r="C47" s="11" t="n"/>
      <c r="D47" s="11" t="n"/>
      <c r="E47" s="11" t="n"/>
      <c r="F47" s="11">
        <f>IF(D47="","",D47*E47)</f>
        <v/>
      </c>
      <c r="G47" s="11">
        <f>IF(D47="","",D47*0)</f>
        <v/>
      </c>
      <c r="H47" s="11">
        <f>IF(F47="","",F47-G47)</f>
        <v/>
      </c>
      <c r="I47" s="11" t="n"/>
      <c r="J47" s="11" t="n"/>
    </row>
    <row r="48">
      <c r="A48" s="11" t="n"/>
      <c r="B48" s="11" t="n"/>
      <c r="C48" s="11" t="n"/>
      <c r="D48" s="11" t="n"/>
      <c r="E48" s="11" t="n"/>
      <c r="F48" s="11">
        <f>IF(D48="","",D48*E48)</f>
        <v/>
      </c>
      <c r="G48" s="11">
        <f>IF(D48="","",D48*0)</f>
        <v/>
      </c>
      <c r="H48" s="11">
        <f>IF(F48="","",F48-G48)</f>
        <v/>
      </c>
      <c r="I48" s="11" t="n"/>
      <c r="J48" s="11" t="n"/>
    </row>
    <row r="49">
      <c r="A49" s="11" t="n"/>
      <c r="B49" s="11" t="n"/>
      <c r="C49" s="11" t="n"/>
      <c r="D49" s="11" t="n"/>
      <c r="E49" s="11" t="n"/>
      <c r="F49" s="11">
        <f>IF(D49="","",D49*E49)</f>
        <v/>
      </c>
      <c r="G49" s="11">
        <f>IF(D49="","",D49*0)</f>
        <v/>
      </c>
      <c r="H49" s="11">
        <f>IF(F49="","",F49-G49)</f>
        <v/>
      </c>
      <c r="I49" s="11" t="n"/>
      <c r="J49" s="11" t="n"/>
    </row>
    <row r="50">
      <c r="A50" s="11" t="n"/>
      <c r="B50" s="11" t="n"/>
      <c r="C50" s="11" t="n"/>
      <c r="D50" s="11" t="n"/>
      <c r="E50" s="11" t="n"/>
      <c r="F50" s="11">
        <f>IF(D50="","",D50*E50)</f>
        <v/>
      </c>
      <c r="G50" s="11">
        <f>IF(D50="","",D50*0)</f>
        <v/>
      </c>
      <c r="H50" s="11">
        <f>IF(F50="","",F50-G50)</f>
        <v/>
      </c>
      <c r="I50" s="11" t="n"/>
      <c r="J50" s="11" t="n"/>
    </row>
    <row r="51">
      <c r="A51" s="11" t="n"/>
      <c r="B51" s="11" t="n"/>
      <c r="C51" s="11" t="n"/>
      <c r="D51" s="11" t="n"/>
      <c r="E51" s="11" t="n"/>
      <c r="F51" s="11">
        <f>IF(D51="","",D51*E51)</f>
        <v/>
      </c>
      <c r="G51" s="11">
        <f>IF(D51="","",D51*0)</f>
        <v/>
      </c>
      <c r="H51" s="11">
        <f>IF(F51="","",F51-G51)</f>
        <v/>
      </c>
      <c r="I51" s="11" t="n"/>
      <c r="J51" s="11" t="n"/>
    </row>
  </sheetData>
  <dataValidations count="1">
    <dataValidation sqref="I2:I51" showDropDown="0" showInputMessage="0" showErrorMessage="0" allowBlank="1" type="list">
      <formula1>"Draft,Awaiting approval,Approved,Rejected,Invoiced"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Agency Profitability Dashboard</t>
        </is>
      </c>
    </row>
    <row r="2"/>
    <row r="3">
      <c r="A3" s="13" t="inlineStr">
        <is>
          <t>Total revenue</t>
        </is>
      </c>
      <c r="B3" s="14">
        <f>SUM('Project P&amp;L'!E2:E101)</f>
        <v/>
      </c>
      <c r="D3" s="3" t="inlineStr">
        <is>
          <t>Project</t>
        </is>
      </c>
      <c r="E3" s="3" t="inlineStr">
        <is>
          <t>Actual margin %</t>
        </is>
      </c>
    </row>
    <row r="4">
      <c r="A4" s="13" t="inlineStr">
        <is>
          <t>Forecast direct cost</t>
        </is>
      </c>
      <c r="B4" s="14">
        <f>SUM('Project P&amp;L'!J2:J101)</f>
        <v/>
      </c>
      <c r="D4" s="5">
        <f>IF('Project P&amp;L'!A2="","",'Project P&amp;L'!A2)</f>
        <v/>
      </c>
      <c r="E4" s="15">
        <f>IF('Project P&amp;L'!A2="","",'Project P&amp;L'!M2)</f>
        <v/>
      </c>
    </row>
    <row r="5">
      <c r="A5" s="13" t="inlineStr">
        <is>
          <t>Actual direct cost</t>
        </is>
      </c>
      <c r="B5" s="14">
        <f>SUM('Project P&amp;L'!K2:K101)</f>
        <v/>
      </c>
      <c r="D5" s="5">
        <f>IF('Project P&amp;L'!A3="","",'Project P&amp;L'!A3)</f>
        <v/>
      </c>
      <c r="E5" s="15">
        <f>IF('Project P&amp;L'!A3="","",'Project P&amp;L'!M3)</f>
        <v/>
      </c>
    </row>
    <row r="6">
      <c r="A6" s="13" t="inlineStr">
        <is>
          <t>Forecast margin %</t>
        </is>
      </c>
      <c r="B6" s="16">
        <f>IFERROR((B3-B4)/B3,"")</f>
        <v/>
      </c>
      <c r="D6" s="5">
        <f>IF('Project P&amp;L'!A4="","",'Project P&amp;L'!A4)</f>
        <v/>
      </c>
      <c r="E6" s="15">
        <f>IF('Project P&amp;L'!A4="","",'Project P&amp;L'!M4)</f>
        <v/>
      </c>
    </row>
    <row r="7">
      <c r="A7" s="13" t="inlineStr">
        <is>
          <t>Actual margin %</t>
        </is>
      </c>
      <c r="B7" s="16">
        <f>IFERROR((B3-B5)/B3,"")</f>
        <v/>
      </c>
      <c r="D7" s="5">
        <f>IF('Project P&amp;L'!A5="","",'Project P&amp;L'!A5)</f>
        <v/>
      </c>
      <c r="E7" s="15">
        <f>IF('Project P&amp;L'!A5="","",'Project P&amp;L'!M5)</f>
        <v/>
      </c>
    </row>
    <row r="8">
      <c r="A8" s="13" t="inlineStr">
        <is>
          <t>Planned hours</t>
        </is>
      </c>
      <c r="B8" s="14">
        <f>SUM('Project P&amp;L'!F2:F101)</f>
        <v/>
      </c>
      <c r="D8" s="5">
        <f>IF('Project P&amp;L'!A6="","",'Project P&amp;L'!A6)</f>
        <v/>
      </c>
      <c r="E8" s="15">
        <f>IF('Project P&amp;L'!A6="","",'Project P&amp;L'!M6)</f>
        <v/>
      </c>
    </row>
    <row r="9">
      <c r="A9" s="13" t="inlineStr">
        <is>
          <t>Actual hours</t>
        </is>
      </c>
      <c r="B9" s="14">
        <f>SUM('Project P&amp;L'!G2:G101)</f>
        <v/>
      </c>
      <c r="D9" s="5">
        <f>IF('Project P&amp;L'!A7="","",'Project P&amp;L'!A7)</f>
        <v/>
      </c>
      <c r="E9" s="15">
        <f>IF('Project P&amp;L'!A7="","",'Project P&amp;L'!M7)</f>
        <v/>
      </c>
    </row>
    <row r="10">
      <c r="A10" s="13" t="inlineStr">
        <is>
          <t>Open change value</t>
        </is>
      </c>
      <c r="B10" s="14">
        <f>SUMIF('Change Impact'!I2:I51,"&lt;&gt;Approved",'Change Impact'!F2:F51)</f>
        <v/>
      </c>
      <c r="D10" s="5">
        <f>IF('Project P&amp;L'!A8="","",'Project P&amp;L'!A8)</f>
        <v/>
      </c>
      <c r="E10" s="15">
        <f>IF('Project P&amp;L'!A8="","",'Project P&amp;L'!M8)</f>
        <v/>
      </c>
    </row>
    <row r="11">
      <c r="D11" s="5">
        <f>IF('Project P&amp;L'!A9="","",'Project P&amp;L'!A9)</f>
        <v/>
      </c>
      <c r="E11" s="15">
        <f>IF('Project P&amp;L'!A9="","",'Project P&amp;L'!M9)</f>
        <v/>
      </c>
    </row>
    <row r="12">
      <c r="D12" s="5">
        <f>IF('Project P&amp;L'!A10="","",'Project P&amp;L'!A10)</f>
        <v/>
      </c>
      <c r="E12" s="15">
        <f>IF('Project P&amp;L'!A10="","",'Project P&amp;L'!M10)</f>
        <v/>
      </c>
    </row>
    <row r="13">
      <c r="D13" s="5">
        <f>IF('Project P&amp;L'!A11="","",'Project P&amp;L'!A11)</f>
        <v/>
      </c>
      <c r="E13" s="15">
        <f>IF('Project P&amp;L'!A11="","",'Project P&amp;L'!M11)</f>
        <v/>
      </c>
    </row>
  </sheetData>
  <mergeCells count="1"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2026-08-24T11:00:52Z</dcterms:created>
  <dcterms:modified xmlns:dcterms="http://purl.org/dc/terms/" xmlns:xsi="http://www.w3.org/2001/XMLSchema-instance" xsi:type="dcterms:W3CDTF">2026-08-24T11:00:52Z</dcterms:modified>
</cp:coreProperties>
</file>